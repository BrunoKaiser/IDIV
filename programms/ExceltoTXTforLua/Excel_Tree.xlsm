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ieseArbeitsmappe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Tree\ExceltoTXTforLua\"/>
    </mc:Choice>
  </mc:AlternateContent>
  <xr:revisionPtr revIDLastSave="0" documentId="13_ncr:1_{0C3C8BC2-3359-47D9-9B11-EEC22B4C6C00}" xr6:coauthVersionLast="47" xr6:coauthVersionMax="47" xr10:uidLastSave="{00000000-0000-0000-0000-000000000000}"/>
  <bookViews>
    <workbookView xWindow="1620" yWindow="675" windowWidth="25305" windowHeight="15030" activeTab="1" xr2:uid="{31CB47F5-4F4C-4BB4-B94C-8A5C26A45674}"/>
  </bookViews>
  <sheets>
    <sheet name="Inputdaten" sheetId="6" r:id="rId1"/>
    <sheet name="Pivottabelle Gliederung" sheetId="7" r:id="rId2"/>
    <sheet name="Pivottabelle Tabellenformat" sheetId="8" r:id="rId3"/>
    <sheet name="TreeView" sheetId="5" r:id="rId4"/>
  </sheets>
  <definedNames>
    <definedName name="_xlnm._FilterDatabase" localSheetId="1" hidden="1">'Pivottabelle Gliederung'!$F$21:$I$66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6" i="7" l="1"/>
  <c r="H66" i="7"/>
  <c r="G66" i="7"/>
  <c r="F66" i="7"/>
  <c r="I65" i="7"/>
  <c r="H65" i="7"/>
  <c r="G65" i="7"/>
  <c r="F65" i="7"/>
  <c r="I64" i="7"/>
  <c r="H64" i="7"/>
  <c r="G64" i="7"/>
  <c r="F64" i="7"/>
  <c r="I63" i="7"/>
  <c r="H63" i="7"/>
  <c r="G63" i="7"/>
  <c r="F63" i="7"/>
  <c r="I62" i="7"/>
  <c r="H62" i="7"/>
  <c r="G62" i="7"/>
  <c r="F62" i="7"/>
  <c r="I61" i="7"/>
  <c r="H61" i="7"/>
  <c r="G61" i="7"/>
  <c r="F61" i="7"/>
  <c r="I60" i="7"/>
  <c r="H60" i="7"/>
  <c r="G60" i="7"/>
  <c r="F60" i="7"/>
  <c r="I59" i="7"/>
  <c r="H59" i="7"/>
  <c r="G59" i="7"/>
  <c r="F59" i="7"/>
  <c r="I58" i="7"/>
  <c r="H58" i="7"/>
  <c r="G58" i="7"/>
  <c r="F58" i="7"/>
  <c r="I57" i="7"/>
  <c r="H57" i="7"/>
  <c r="G57" i="7"/>
  <c r="F57" i="7"/>
  <c r="I56" i="7"/>
  <c r="H56" i="7"/>
  <c r="G56" i="7"/>
  <c r="F56" i="7"/>
  <c r="I55" i="7"/>
  <c r="H55" i="7"/>
  <c r="G55" i="7"/>
  <c r="F55" i="7"/>
  <c r="I54" i="7"/>
  <c r="H54" i="7"/>
  <c r="G54" i="7"/>
  <c r="F54" i="7"/>
  <c r="I53" i="7"/>
  <c r="H53" i="7"/>
  <c r="G53" i="7"/>
  <c r="F53" i="7"/>
  <c r="I52" i="7"/>
  <c r="H52" i="7"/>
  <c r="G52" i="7"/>
  <c r="F52" i="7"/>
  <c r="I51" i="7"/>
  <c r="H51" i="7"/>
  <c r="G51" i="7"/>
  <c r="F51" i="7"/>
  <c r="I50" i="7"/>
  <c r="H50" i="7"/>
  <c r="G50" i="7"/>
  <c r="F50" i="7"/>
  <c r="I49" i="7"/>
  <c r="H49" i="7"/>
  <c r="G49" i="7"/>
  <c r="F49" i="7"/>
  <c r="I48" i="7"/>
  <c r="H48" i="7"/>
  <c r="G48" i="7"/>
  <c r="F48" i="7"/>
  <c r="I47" i="7"/>
  <c r="H47" i="7"/>
  <c r="G47" i="7"/>
  <c r="F47" i="7"/>
  <c r="I46" i="7"/>
  <c r="H46" i="7"/>
  <c r="G46" i="7"/>
  <c r="F46" i="7"/>
  <c r="I45" i="7"/>
  <c r="H45" i="7"/>
  <c r="G45" i="7"/>
  <c r="F45" i="7"/>
  <c r="I44" i="7"/>
  <c r="H44" i="7"/>
  <c r="G44" i="7"/>
  <c r="F44" i="7"/>
  <c r="I43" i="7"/>
  <c r="H43" i="7"/>
  <c r="G43" i="7"/>
  <c r="F43" i="7"/>
  <c r="I42" i="7"/>
  <c r="H42" i="7"/>
  <c r="G42" i="7"/>
  <c r="F42" i="7"/>
  <c r="I41" i="7"/>
  <c r="H41" i="7"/>
  <c r="G41" i="7"/>
  <c r="F41" i="7"/>
  <c r="I40" i="7"/>
  <c r="H40" i="7"/>
  <c r="G40" i="7"/>
  <c r="F40" i="7"/>
  <c r="I39" i="7"/>
  <c r="H39" i="7"/>
  <c r="G39" i="7"/>
  <c r="F39" i="7"/>
  <c r="I38" i="7"/>
  <c r="H38" i="7"/>
  <c r="G38" i="7"/>
  <c r="F38" i="7"/>
  <c r="I37" i="7"/>
  <c r="H37" i="7"/>
  <c r="G37" i="7"/>
  <c r="F37" i="7"/>
  <c r="I36" i="7"/>
  <c r="H36" i="7"/>
  <c r="G36" i="7"/>
  <c r="F36" i="7"/>
  <c r="I35" i="7"/>
  <c r="H35" i="7"/>
  <c r="G35" i="7"/>
  <c r="F35" i="7"/>
  <c r="I34" i="7"/>
  <c r="H34" i="7"/>
  <c r="G34" i="7"/>
  <c r="F34" i="7"/>
  <c r="I33" i="7"/>
  <c r="H33" i="7"/>
  <c r="G33" i="7"/>
  <c r="F33" i="7"/>
  <c r="I32" i="7"/>
  <c r="H32" i="7"/>
  <c r="G32" i="7"/>
  <c r="F32" i="7"/>
  <c r="I31" i="7"/>
  <c r="H31" i="7"/>
  <c r="G31" i="7"/>
  <c r="F31" i="7"/>
  <c r="I30" i="7"/>
  <c r="H30" i="7"/>
  <c r="G30" i="7"/>
  <c r="F30" i="7"/>
  <c r="I29" i="7"/>
  <c r="H29" i="7"/>
  <c r="G29" i="7"/>
  <c r="F29" i="7"/>
  <c r="I28" i="7"/>
  <c r="H28" i="7"/>
  <c r="G28" i="7"/>
  <c r="F28" i="7"/>
  <c r="I27" i="7"/>
  <c r="H27" i="7"/>
  <c r="G27" i="7"/>
  <c r="F27" i="7"/>
  <c r="I26" i="7"/>
  <c r="H26" i="7"/>
  <c r="G26" i="7"/>
  <c r="F26" i="7"/>
  <c r="I25" i="7"/>
  <c r="H25" i="7"/>
  <c r="G25" i="7"/>
  <c r="F25" i="7"/>
  <c r="I24" i="7"/>
  <c r="H24" i="7"/>
  <c r="G24" i="7"/>
  <c r="F24" i="7"/>
  <c r="I23" i="7"/>
  <c r="H23" i="7"/>
  <c r="G23" i="7"/>
  <c r="F23" i="7"/>
  <c r="I22" i="7"/>
  <c r="H22" i="7"/>
  <c r="G22" i="7"/>
  <c r="F22" i="7"/>
  <c r="I21" i="7"/>
  <c r="H21" i="7"/>
  <c r="G21" i="7"/>
  <c r="F21" i="7"/>
  <c r="I20" i="7"/>
  <c r="H20" i="7"/>
  <c r="G20" i="7"/>
  <c r="F20" i="7"/>
  <c r="Q15" i="6"/>
  <c r="P15" i="6"/>
  <c r="O15" i="6"/>
  <c r="N15" i="6"/>
  <c r="M15" i="6"/>
  <c r="L15" i="6"/>
  <c r="K15" i="6"/>
  <c r="J15" i="6"/>
  <c r="Q14" i="6"/>
  <c r="P14" i="6"/>
  <c r="O14" i="6"/>
  <c r="N14" i="6"/>
  <c r="M14" i="6"/>
  <c r="L14" i="6"/>
  <c r="K14" i="6"/>
  <c r="J14" i="6"/>
  <c r="Q13" i="6"/>
  <c r="P13" i="6"/>
  <c r="O13" i="6"/>
  <c r="N13" i="6"/>
  <c r="M13" i="6"/>
  <c r="L13" i="6"/>
  <c r="K13" i="6"/>
  <c r="J13" i="6"/>
  <c r="Q12" i="6"/>
  <c r="P12" i="6"/>
  <c r="O12" i="6"/>
  <c r="N12" i="6"/>
  <c r="M12" i="6"/>
  <c r="L12" i="6"/>
  <c r="K12" i="6"/>
  <c r="J12" i="6"/>
  <c r="Q11" i="6"/>
  <c r="P11" i="6"/>
  <c r="O11" i="6"/>
  <c r="N11" i="6"/>
  <c r="M11" i="6"/>
  <c r="L11" i="6"/>
  <c r="K11" i="6"/>
  <c r="J11" i="6"/>
  <c r="Q10" i="6"/>
  <c r="P10" i="6"/>
  <c r="O10" i="6"/>
  <c r="N10" i="6"/>
  <c r="M10" i="6"/>
  <c r="L10" i="6"/>
  <c r="K10" i="6"/>
  <c r="J10" i="6"/>
  <c r="Q9" i="6"/>
  <c r="P9" i="6"/>
  <c r="O9" i="6"/>
  <c r="N9" i="6"/>
  <c r="M9" i="6"/>
  <c r="L9" i="6"/>
  <c r="K9" i="6"/>
  <c r="J9" i="6"/>
  <c r="Q8" i="6"/>
  <c r="P8" i="6"/>
  <c r="O8" i="6"/>
  <c r="N8" i="6"/>
  <c r="M8" i="6"/>
  <c r="L8" i="6"/>
  <c r="K8" i="6"/>
  <c r="J8" i="6"/>
  <c r="Q7" i="6"/>
  <c r="P7" i="6"/>
  <c r="O7" i="6"/>
  <c r="N7" i="6"/>
  <c r="M7" i="6"/>
  <c r="L7" i="6"/>
  <c r="K7" i="6"/>
  <c r="J7" i="6"/>
  <c r="Q6" i="6"/>
  <c r="P6" i="6"/>
  <c r="O6" i="6"/>
  <c r="N6" i="6"/>
  <c r="M6" i="6"/>
  <c r="L6" i="6"/>
  <c r="K6" i="6"/>
  <c r="J6" i="6"/>
  <c r="Q5" i="6"/>
  <c r="P5" i="6"/>
  <c r="O5" i="6"/>
  <c r="N5" i="6"/>
  <c r="M5" i="6"/>
  <c r="L5" i="6"/>
  <c r="K5" i="6"/>
  <c r="J5" i="6"/>
  <c r="Q4" i="6"/>
  <c r="P4" i="6"/>
  <c r="O4" i="6"/>
  <c r="N4" i="6"/>
  <c r="M4" i="6"/>
  <c r="L4" i="6"/>
  <c r="K4" i="6"/>
  <c r="J4" i="6"/>
  <c r="Q3" i="6"/>
  <c r="P3" i="6"/>
  <c r="O3" i="6"/>
  <c r="N3" i="6"/>
  <c r="M3" i="6"/>
  <c r="L3" i="6"/>
  <c r="K3" i="6"/>
  <c r="J3" i="6"/>
  <c r="Q2" i="6"/>
  <c r="P2" i="6"/>
  <c r="O2" i="6"/>
  <c r="N2" i="6"/>
  <c r="M2" i="6"/>
  <c r="L2" i="6"/>
  <c r="K2" i="6"/>
  <c r="J2" i="6"/>
  <c r="Q1" i="6"/>
  <c r="P1" i="6"/>
  <c r="O1" i="6"/>
  <c r="N1" i="6"/>
  <c r="M1" i="6"/>
  <c r="L1" i="6"/>
  <c r="K1" i="6"/>
  <c r="J1" i="6"/>
  <c r="C1" i="5"/>
</calcChain>
</file>

<file path=xl/sharedStrings.xml><?xml version="1.0" encoding="utf-8"?>
<sst xmlns="http://schemas.openxmlformats.org/spreadsheetml/2006/main" count="300" uniqueCount="137">
  <si>
    <t>}</t>
  </si>
  <si>
    <t>N</t>
  </si>
  <si>
    <t>wird in die Datenbank aufgenommen.</t>
  </si>
  <si>
    <t>wird für die Projektarbeit vorbereitet.</t>
  </si>
  <si>
    <t>hat sich auf die Projektarbeit vorbereitet.</t>
  </si>
  <si>
    <t>arbeitet erfolgreich im Projekt.</t>
  </si>
  <si>
    <t>hat eine Kundennummer erhalten.</t>
  </si>
  <si>
    <t>Test</t>
  </si>
  <si>
    <t>J</t>
  </si>
  <si>
    <t>Tree={branchname="Tree"</t>
  </si>
  <si>
    <t>first task</t>
  </si>
  <si>
    <t>second task</t>
  </si>
  <si>
    <t>third task</t>
  </si>
  <si>
    <t>fourth task</t>
  </si>
  <si>
    <t>fifth task</t>
  </si>
  <si>
    <t>last task</t>
  </si>
  <si>
    <t>customer 1</t>
  </si>
  <si>
    <t>customer 2</t>
  </si>
  <si>
    <t>customer 3</t>
  </si>
  <si>
    <t>,{branchname="customer 1"</t>
  </si>
  <si>
    <t>,{branchname="customer 1: first task"</t>
  </si>
  <si>
    <t>,{branchname="customer 1: second task"</t>
  </si>
  <si>
    <t>,"customer 1: third task"</t>
  </si>
  <si>
    <t>,{branchname="customer 1: fourth task"</t>
  </si>
  <si>
    <t>,"customer 1: fifth task"</t>
  </si>
  <si>
    <t>,"customer 1: last task"</t>
  </si>
  <si>
    <t>,{branchname="customer 2"</t>
  </si>
  <si>
    <t>,{branchname="customer 2: first task"</t>
  </si>
  <si>
    <t>,{branchname="customer 2: second task"</t>
  </si>
  <si>
    <t>,"customer 2: third task"</t>
  </si>
  <si>
    <t>,{branchname="customer 2: fourth task"</t>
  </si>
  <si>
    <t>,"customer 2: fifth task"</t>
  </si>
  <si>
    <t>,"customer 2: last task"</t>
  </si>
  <si>
    <t>,{branchname="customer 3"</t>
  </si>
  <si>
    <t>,{branchname="customer 3: first task"</t>
  </si>
  <si>
    <t>,{branchname="customer 3: second task"</t>
  </si>
  <si>
    <t>,"customer 3: third task"</t>
  </si>
  <si>
    <t>,{branchname="customer 3: fourth task"</t>
  </si>
  <si>
    <t>,"customer 3: fifth task"</t>
  </si>
  <si>
    <t>,"customer 3: last task"</t>
  </si>
  <si>
    <t>Ebene1</t>
  </si>
  <si>
    <t>Ebene2</t>
  </si>
  <si>
    <t>Ebene3</t>
  </si>
  <si>
    <t>Ebene4</t>
  </si>
  <si>
    <t>Ebene5</t>
  </si>
  <si>
    <t>Wert1</t>
  </si>
  <si>
    <t>Wert2</t>
  </si>
  <si>
    <t>Wert3</t>
  </si>
  <si>
    <t>Stamm</t>
  </si>
  <si>
    <t>Titel0</t>
  </si>
  <si>
    <t>Titel1</t>
  </si>
  <si>
    <t>ewrt</t>
  </si>
  <si>
    <t>b</t>
  </si>
  <si>
    <t>c</t>
  </si>
  <si>
    <t>Titel2</t>
  </si>
  <si>
    <t>w</t>
  </si>
  <si>
    <t>e</t>
  </si>
  <si>
    <t>o</t>
  </si>
  <si>
    <t>werqwe</t>
  </si>
  <si>
    <t>wer</t>
  </si>
  <si>
    <t>er</t>
  </si>
  <si>
    <t>t</t>
  </si>
  <si>
    <t>Titel5</t>
  </si>
  <si>
    <t>s</t>
  </si>
  <si>
    <t>bf</t>
  </si>
  <si>
    <t>ef</t>
  </si>
  <si>
    <t>g</t>
  </si>
  <si>
    <t>Titel7</t>
  </si>
  <si>
    <t>n</t>
  </si>
  <si>
    <t>f</t>
  </si>
  <si>
    <t>Titel8</t>
  </si>
  <si>
    <t>Pivottabelle als IDIV gestalten</t>
  </si>
  <si>
    <t xml:space="preserve"> Vorbereitung der Daten mit =WENN(B2="";" ";"~"&amp;B2) und Anzahl ~ bei jeder Ebene um eine Tilde erhöhen.</t>
  </si>
  <si>
    <t>Feldeinstellungen</t>
  </si>
  <si>
    <t xml:space="preserve">   Layout &amp; Drucken</t>
  </si>
  <si>
    <t xml:space="preserve">       Elementnamen in Gliederungsansicht anzeigen</t>
  </si>
  <si>
    <t xml:space="preserve">           Beschriftungen aus dem nächsten Feld in der gleichen Spalte anzeigen (Kurzformat)</t>
  </si>
  <si>
    <t xml:space="preserve">           Teilergebnisse oberhalb jeder Gruppe anzeigen</t>
  </si>
  <si>
    <t>PivotTable-Optionen</t>
  </si>
  <si>
    <t xml:space="preserve">    Layout &amp; Format</t>
  </si>
  <si>
    <t xml:space="preserve">        Für Kurzformat Einzug der Zeilenbeschriftungen 4 Zeichen</t>
  </si>
  <si>
    <t xml:space="preserve">    Summen &amp; Filter</t>
  </si>
  <si>
    <t xml:space="preserve">        Keine Gesamtergebnisse für Zeilen anzeigen</t>
  </si>
  <si>
    <t xml:space="preserve">        Keine Gesamtergebnisse für Spalten anzeigen</t>
  </si>
  <si>
    <t>Nur alphabetische Reihenfolge erst einmal, danach wird unten angefügt. Das ist etwas seltsam.</t>
  </si>
  <si>
    <t>Manuelle Kopie mit Tilden. Tabulatoren durch Leerzeichen und Tilden durch Tabulatoren erstzen, so dass eine Weiterverarbeitung möglich ist.</t>
  </si>
  <si>
    <t>Werte</t>
  </si>
  <si>
    <t>Zeilenbeschriftungen</t>
  </si>
  <si>
    <t>Summe von Wert1</t>
  </si>
  <si>
    <t>Summe von Wert2</t>
  </si>
  <si>
    <t>Summe von Wert3</t>
  </si>
  <si>
    <t>~Titel1</t>
  </si>
  <si>
    <t>~~ewrt</t>
  </si>
  <si>
    <t>~~~b</t>
  </si>
  <si>
    <t xml:space="preserve"> </t>
  </si>
  <si>
    <t>~~~c</t>
  </si>
  <si>
    <t>~Titel2</t>
  </si>
  <si>
    <t>~~w</t>
  </si>
  <si>
    <t>~~e</t>
  </si>
  <si>
    <t>~~o</t>
  </si>
  <si>
    <t>~~werqwe</t>
  </si>
  <si>
    <t>~~~wer</t>
  </si>
  <si>
    <t>~~~~er</t>
  </si>
  <si>
    <t>~~t</t>
  </si>
  <si>
    <t>~Titel5</t>
  </si>
  <si>
    <t>~~s</t>
  </si>
  <si>
    <t>~~~bf</t>
  </si>
  <si>
    <t>~~~~ef</t>
  </si>
  <si>
    <t>~~~~g</t>
  </si>
  <si>
    <t>~Titel7</t>
  </si>
  <si>
    <t>~~n</t>
  </si>
  <si>
    <t>~~f</t>
  </si>
  <si>
    <t>~Titel8</t>
  </si>
  <si>
    <t>~~g</t>
  </si>
  <si>
    <t>~Titel0</t>
  </si>
  <si>
    <t>~~~b Ergebnis</t>
  </si>
  <si>
    <t>~~~c Ergebnis</t>
  </si>
  <si>
    <t>~~ewrt Ergebnis</t>
  </si>
  <si>
    <t>~Titel1 Ergebnis</t>
  </si>
  <si>
    <t xml:space="preserve">  Ergebnis</t>
  </si>
  <si>
    <t>~~w Ergebnis</t>
  </si>
  <si>
    <t>~~e Ergebnis</t>
  </si>
  <si>
    <t>~~o Ergebnis</t>
  </si>
  <si>
    <t>~~~wer Ergebnis</t>
  </si>
  <si>
    <t>~~werqwe Ergebnis</t>
  </si>
  <si>
    <t>~~t Ergebnis</t>
  </si>
  <si>
    <t>~Titel2 Ergebnis</t>
  </si>
  <si>
    <t>~~~bf Ergebnis</t>
  </si>
  <si>
    <t>~~s Ergebnis</t>
  </si>
  <si>
    <t>~Titel5 Ergebnis</t>
  </si>
  <si>
    <t>~~n Ergebnis</t>
  </si>
  <si>
    <t>~~f Ergebnis</t>
  </si>
  <si>
    <t>~Titel7 Ergebnis</t>
  </si>
  <si>
    <t>~~g Ergebnis</t>
  </si>
  <si>
    <t>~Titel8 Ergebnis</t>
  </si>
  <si>
    <t>~Titel0 Ergebnis</t>
  </si>
  <si>
    <t>Stamm Ergebnis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</si>
</sst>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left" indent="4"/>
    </xf>
    <xf numFmtId="0" fontId="0" fillId="0" borderId="0" xfId="0" applyAlignment="1">
      <alignment horizontal="left" indent="8"/>
    </xf>
    <xf numFmtId="0" fontId="0" fillId="0" borderId="0" xfId="0" applyAlignment="1">
      <alignment horizontal="left" indent="12"/>
    </xf>
    <xf numFmtId="0" fontId="0" fillId="0" borderId="0" xfId="0" applyAlignment="1">
      <alignment horizontal="left" indent="16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1857375</xdr:colOff>
      <xdr:row>0</xdr:row>
      <xdr:rowOff>28575</xdr:rowOff>
    </xdr:from>
    <xdr:to>
      <xdr:col>0</xdr:col>
      <xdr:colOff>3657600</xdr:colOff>
      <xdr:row>0</xdr:row>
      <xdr:rowOff>381001</xdr:rowOff>
    </xdr:to>
    <xdr:sp macro="[0]!Rechteck2_Klicken" textlink="">
      <xdr:nvSpPr>
        <xdr:cNvPr id="3" name="Rechteck 2">
          <a:extLst>
            <a:ext uri="{FF2B5EF4-FFF2-40B4-BE49-F238E27FC236}">
              <a16:creationId xmlns:a16="http://schemas.microsoft.com/office/drawing/2014/main" id="{403E00EC-7919-C8EE-7162-BB07CD33CABA}"/>
            </a:ext>
          </a:extLst>
        </xdr:cNvPr>
        <xdr:cNvSpPr/>
      </xdr:nvSpPr>
      <xdr:spPr>
        <a:xfrm>
          <a:off x="1857375" y="28575"/>
          <a:ext cx="1800225" cy="3524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ysClr val="windowText" lastClr="000000"/>
              </a:solidFill>
            </a:rPr>
            <a:t>TreeView</a:t>
          </a:r>
        </a:p>
      </xdr:txBody>
    </xdr:sp>
    <xdr:clientData/>
  </xdr:twoCellAnchor>
  <xdr:twoCellAnchor>
    <xdr:from>
      <xdr:col>0</xdr:col>
      <xdr:colOff>3724275</xdr:colOff>
      <xdr:row>0</xdr:row>
      <xdr:rowOff>28575</xdr:rowOff>
    </xdr:from>
    <xdr:to>
      <xdr:col>0</xdr:col>
      <xdr:colOff>5048250</xdr:colOff>
      <xdr:row>0</xdr:row>
      <xdr:rowOff>409575</xdr:rowOff>
    </xdr:to>
    <xdr:sp macro="[0]!Rechteck3_Klicken" textlink="">
      <xdr:nvSpPr>
        <xdr:cNvPr id="2" name="Rechteck 1">
          <a:extLst>
            <a:ext uri="{FF2B5EF4-FFF2-40B4-BE49-F238E27FC236}">
              <a16:creationId xmlns:a16="http://schemas.microsoft.com/office/drawing/2014/main" id="{FD4E292E-BED2-5207-2DDC-7B2CFA75B6FB}"/>
            </a:ext>
          </a:extLst>
        </xdr:cNvPr>
        <xdr:cNvSpPr/>
      </xdr:nvSpPr>
      <xdr:spPr>
        <a:xfrm>
          <a:off x="3724275" y="28575"/>
          <a:ext cx="132397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/>
            <a:t>Tree aktualisieren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Temp/Excel_Pivot_vs_Baumansicht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K" refreshedDate="44862.331504861111" createdVersion="8" refreshedVersion="8" minRefreshableVersion="3" recordCount="14" xr:uid="{A542DFB6-059C-47D4-9775-3A8BBD62A62B}">
  <cacheSource type="worksheet">
    <worksheetSource ref="J1:Q15" sheet="Inputdaten" r:id="rId2"/>
  </cacheSource>
  <cacheFields count="8">
    <cacheField name="Ebene1" numFmtId="0">
      <sharedItems containsBlank="1" count="2">
        <s v="Stamm"/>
        <m u="1"/>
      </sharedItems>
    </cacheField>
    <cacheField name="Ebene2" numFmtId="0">
      <sharedItems containsBlank="1" count="17">
        <s v="~Titel0"/>
        <s v="~Titel1"/>
        <s v="~Titel2"/>
        <s v="~Titel5"/>
        <s v="~Titel7"/>
        <s v="~Titel8"/>
        <m u="1"/>
        <s v=" Titel1" u="1"/>
        <s v="Titel1" u="1"/>
        <s v=" Titel2" u="1"/>
        <s v="Titel2" u="1"/>
        <s v="Titel5" u="1"/>
        <s v=" Titel5" u="1"/>
        <s v="Titel7" u="1"/>
        <s v="Titel8" u="1"/>
        <s v=" Titel7" u="1"/>
        <s v=" Titel8" u="1"/>
      </sharedItems>
    </cacheField>
    <cacheField name="Ebene3" numFmtId="0">
      <sharedItems containsBlank="1" count="39">
        <s v=" "/>
        <s v="~~ewrt"/>
        <s v="~~w"/>
        <s v="~~e"/>
        <s v="~~o"/>
        <s v="~~werqwe"/>
        <s v="~~t"/>
        <s v="~~s"/>
        <s v="~~n"/>
        <s v="~~f"/>
        <s v="~~g"/>
        <s v="" u="1"/>
        <m u="1"/>
        <s v="g" u="1"/>
        <s v="  a" u="1"/>
        <s v="s" u="1"/>
        <s v="e" u="1"/>
        <s v="  e" u="1"/>
        <s v="  f" u="1"/>
        <s v="  g" u="1"/>
        <s v="c" u="1"/>
        <s v="o" u="1"/>
        <s v="  n" u="1"/>
        <s v="  o" u="1"/>
        <s v="a" u="1"/>
        <s v="  ewrt" u="1"/>
        <s v="t" u="1"/>
        <s v="werqwe" u="1"/>
        <s v="  s" u="1"/>
        <s v="ewrt" u="1"/>
        <s v="f" u="1"/>
        <s v="  t" u="1"/>
        <s v="ef" u="1"/>
        <s v="  w" u="1"/>
        <s v="w" u="1"/>
        <s v="~~a" u="1"/>
        <s v="b" u="1"/>
        <s v="n" u="1"/>
        <s v="  werqwe" u="1"/>
      </sharedItems>
    </cacheField>
    <cacheField name="Ebene4" numFmtId="0">
      <sharedItems containsBlank="1" count="16">
        <s v=" "/>
        <s v="~~~b"/>
        <s v="~~~c"/>
        <s v="~~~wer"/>
        <s v="~~~bf"/>
        <s v="" u="1"/>
        <m u="1"/>
        <s v="wer" u="1"/>
        <s v="c" u="1"/>
        <s v="~~~ " u="1"/>
        <s v="   wer" u="1"/>
        <s v="bf" u="1"/>
        <s v="   c" u="1"/>
        <s v="   b" u="1"/>
        <s v="   bf" u="1"/>
        <s v="b" u="1"/>
      </sharedItems>
    </cacheField>
    <cacheField name="Ebene5" numFmtId="0">
      <sharedItems count="6">
        <s v=" "/>
        <s v="~~~~er"/>
        <s v="~~~~ef"/>
        <s v="~~~~g"/>
        <s v="" u="1"/>
        <s v="~~~~ " u="1"/>
      </sharedItems>
    </cacheField>
    <cacheField name="Wert1" numFmtId="0">
      <sharedItems containsSemiMixedTypes="0" containsString="0" containsNumber="1" containsInteger="1" minValue="1" maxValue="4233"/>
    </cacheField>
    <cacheField name="Wert2" numFmtId="0">
      <sharedItems containsSemiMixedTypes="0" containsString="0" containsNumber="1" containsInteger="1" minValue="1" maxValue="342"/>
    </cacheField>
    <cacheField name="Wert3" numFmtId="0">
      <sharedItems containsSemiMixedTypes="0" containsString="0" containsNumber="1" containsInteger="1" minValue="1" maxValue="233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x v="0"/>
    <x v="0"/>
    <x v="0"/>
    <n v="345"/>
    <n v="234"/>
    <n v="234"/>
  </r>
  <r>
    <x v="0"/>
    <x v="1"/>
    <x v="1"/>
    <x v="1"/>
    <x v="0"/>
    <n v="43"/>
    <n v="234"/>
    <n v="23"/>
  </r>
  <r>
    <x v="0"/>
    <x v="1"/>
    <x v="1"/>
    <x v="2"/>
    <x v="0"/>
    <n v="3"/>
    <n v="34"/>
    <n v="42"/>
  </r>
  <r>
    <x v="0"/>
    <x v="2"/>
    <x v="2"/>
    <x v="0"/>
    <x v="0"/>
    <n v="42"/>
    <n v="42"/>
    <n v="4"/>
  </r>
  <r>
    <x v="0"/>
    <x v="2"/>
    <x v="3"/>
    <x v="0"/>
    <x v="0"/>
    <n v="3423"/>
    <n v="23"/>
    <n v="234"/>
  </r>
  <r>
    <x v="0"/>
    <x v="2"/>
    <x v="4"/>
    <x v="0"/>
    <x v="0"/>
    <n v="42"/>
    <n v="234"/>
    <n v="234"/>
  </r>
  <r>
    <x v="0"/>
    <x v="2"/>
    <x v="5"/>
    <x v="3"/>
    <x v="1"/>
    <n v="1"/>
    <n v="1"/>
    <n v="1"/>
  </r>
  <r>
    <x v="0"/>
    <x v="2"/>
    <x v="6"/>
    <x v="0"/>
    <x v="0"/>
    <n v="3342"/>
    <n v="34"/>
    <n v="23"/>
  </r>
  <r>
    <x v="0"/>
    <x v="3"/>
    <x v="7"/>
    <x v="4"/>
    <x v="2"/>
    <n v="34"/>
    <n v="342"/>
    <n v="42"/>
  </r>
  <r>
    <x v="0"/>
    <x v="3"/>
    <x v="7"/>
    <x v="4"/>
    <x v="3"/>
    <n v="2334"/>
    <n v="2"/>
    <n v="34"/>
  </r>
  <r>
    <x v="0"/>
    <x v="4"/>
    <x v="8"/>
    <x v="0"/>
    <x v="0"/>
    <n v="23"/>
    <n v="234"/>
    <n v="2334"/>
  </r>
  <r>
    <x v="0"/>
    <x v="4"/>
    <x v="9"/>
    <x v="0"/>
    <x v="0"/>
    <n v="4233"/>
    <n v="34"/>
    <n v="24"/>
  </r>
  <r>
    <x v="0"/>
    <x v="5"/>
    <x v="3"/>
    <x v="0"/>
    <x v="0"/>
    <n v="42"/>
    <n v="2"/>
    <n v="2"/>
  </r>
  <r>
    <x v="0"/>
    <x v="5"/>
    <x v="10"/>
    <x v="0"/>
    <x v="0"/>
    <n v="234"/>
    <n v="234"/>
    <n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DABBD3-8F80-49AA-8059-08DCE571DA36}" name="PivotTable1" cacheId="0" applyNumberFormats="0" applyBorderFormats="0" applyFontFormats="0" applyPatternFormats="0" applyAlignmentFormats="0" applyWidthHeightFormats="1" dataCaption="Werte" updatedVersion="8" minRefreshableVersion="3" useAutoFormatting="1" rowGrandTotals="0" colGrandTotals="0" itemPrintTitles="1" createdVersion="8" indent="3" compact="0" compactData="0" gridDropZones="1" multipleFieldFilters="0">
  <location ref="A19:D66" firstHeaderRow="1" firstDataRow="2" firstDataCol="1"/>
  <pivotFields count="8">
    <pivotField axis="axisRow" showAll="0">
      <items count="3">
        <item x="0"/>
        <item m="1" x="1"/>
        <item t="default"/>
      </items>
    </pivotField>
    <pivotField axis="axisRow" showAll="0">
      <items count="18">
        <item m="1" x="8"/>
        <item m="1" x="10"/>
        <item m="1" x="11"/>
        <item m="1" x="13"/>
        <item m="1" x="14"/>
        <item m="1" x="6"/>
        <item m="1" x="7"/>
        <item m="1" x="9"/>
        <item m="1" x="12"/>
        <item m="1" x="15"/>
        <item m="1" x="16"/>
        <item x="1"/>
        <item x="2"/>
        <item x="3"/>
        <item x="4"/>
        <item x="5"/>
        <item x="0"/>
        <item t="default"/>
      </items>
    </pivotField>
    <pivotField axis="axisRow" showAll="0">
      <items count="40">
        <item sd="0" m="1" x="24"/>
        <item m="1" x="36"/>
        <item m="1" x="20"/>
        <item sd="0" m="1" x="16"/>
        <item m="1" x="32"/>
        <item sd="0" m="1" x="30"/>
        <item sd="0" m="1" x="13"/>
        <item sd="0" m="1" x="37"/>
        <item sd="0" m="1" x="21"/>
        <item sd="0" m="1" x="26"/>
        <item sd="0" m="1" x="34"/>
        <item m="1" x="29"/>
        <item m="1" x="15"/>
        <item m="1" x="12"/>
        <item m="1" x="27"/>
        <item m="1" x="14"/>
        <item m="1" x="25"/>
        <item m="1" x="33"/>
        <item m="1" x="17"/>
        <item m="1" x="23"/>
        <item m="1" x="38"/>
        <item m="1" x="31"/>
        <item m="1" x="28"/>
        <item m="1" x="22"/>
        <item m="1" x="18"/>
        <item m="1" x="19"/>
        <item m="1" x="35"/>
        <item x="1"/>
        <item x="2"/>
        <item x="3"/>
        <item x="4"/>
        <item x="5"/>
        <item x="6"/>
        <item x="7"/>
        <item x="8"/>
        <item x="9"/>
        <item x="10"/>
        <item m="1" x="11"/>
        <item x="0"/>
        <item t="default"/>
      </items>
    </pivotField>
    <pivotField axis="axisRow" showAll="0">
      <items count="17">
        <item m="1" x="6"/>
        <item sd="0" m="1" x="15"/>
        <item sd="0" m="1" x="8"/>
        <item m="1" x="11"/>
        <item x="0"/>
        <item m="1" x="7"/>
        <item m="1" x="13"/>
        <item m="1" x="12"/>
        <item m="1" x="10"/>
        <item m="1" x="14"/>
        <item x="1"/>
        <item x="2"/>
        <item x="3"/>
        <item x="4"/>
        <item m="1" x="9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">
        <item m="1" x="5"/>
        <item x="2"/>
        <item x="1"/>
        <item x="3"/>
        <item m="1" x="4"/>
        <item x="0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5">
    <field x="0"/>
    <field x="1"/>
    <field x="2"/>
    <field x="3"/>
    <field x="4"/>
  </rowFields>
  <rowItems count="46">
    <i>
      <x/>
    </i>
    <i r="1">
      <x v="11"/>
    </i>
    <i r="2">
      <x v="27"/>
    </i>
    <i r="3">
      <x v="10"/>
    </i>
    <i r="4">
      <x v="5"/>
    </i>
    <i r="3">
      <x v="11"/>
    </i>
    <i r="4">
      <x v="5"/>
    </i>
    <i r="1">
      <x v="12"/>
    </i>
    <i r="2">
      <x v="28"/>
    </i>
    <i r="3">
      <x v="4"/>
    </i>
    <i r="4">
      <x v="5"/>
    </i>
    <i r="2">
      <x v="29"/>
    </i>
    <i r="3">
      <x v="4"/>
    </i>
    <i r="4">
      <x v="5"/>
    </i>
    <i r="2">
      <x v="30"/>
    </i>
    <i r="3">
      <x v="4"/>
    </i>
    <i r="4">
      <x v="5"/>
    </i>
    <i r="2">
      <x v="31"/>
    </i>
    <i r="3">
      <x v="12"/>
    </i>
    <i r="4">
      <x v="2"/>
    </i>
    <i r="2">
      <x v="32"/>
    </i>
    <i r="3">
      <x v="4"/>
    </i>
    <i r="4">
      <x v="5"/>
    </i>
    <i r="1">
      <x v="13"/>
    </i>
    <i r="2">
      <x v="33"/>
    </i>
    <i r="3">
      <x v="13"/>
    </i>
    <i r="4">
      <x v="1"/>
    </i>
    <i r="4">
      <x v="3"/>
    </i>
    <i r="1">
      <x v="14"/>
    </i>
    <i r="2">
      <x v="34"/>
    </i>
    <i r="3">
      <x v="4"/>
    </i>
    <i r="4">
      <x v="5"/>
    </i>
    <i r="2">
      <x v="35"/>
    </i>
    <i r="3">
      <x v="4"/>
    </i>
    <i r="4">
      <x v="5"/>
    </i>
    <i r="1">
      <x v="15"/>
    </i>
    <i r="2">
      <x v="29"/>
    </i>
    <i r="3">
      <x v="4"/>
    </i>
    <i r="4">
      <x v="5"/>
    </i>
    <i r="2">
      <x v="36"/>
    </i>
    <i r="3">
      <x v="4"/>
    </i>
    <i r="4">
      <x v="5"/>
    </i>
    <i r="1">
      <x v="16"/>
    </i>
    <i r="2">
      <x v="38"/>
    </i>
    <i r="3">
      <x v="4"/>
    </i>
    <i r="4">
      <x v="5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me von Wert1" fld="5" baseField="0" baseItem="0"/>
    <dataField name="Summe von Wert2" fld="6" baseField="0" baseItem="0"/>
    <dataField name="Summe von Wert3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74100-6010-46E6-AD6C-A1D79386B2E5}" name="PivotTable2" cacheId="0" applyNumberFormats="0" applyBorderFormats="0" applyFontFormats="0" applyPatternFormats="0" applyAlignmentFormats="0" applyWidthHeightFormats="1" dataCaption="Werte" updatedVersion="8" minRefreshableVersion="3" useAutoFormatting="1" rowGrandTotals="0" colGrandTotals="0" itemPrintTitles="1" createdVersion="8" indent="3" compact="0" compactData="0" gridDropZones="1" multipleFieldFilters="0">
  <location ref="A4:H51" firstHeaderRow="1" firstDataRow="2" firstDataCol="5"/>
  <pivotFields count="8">
    <pivotField axis="axisRow" outline="0" showAll="0">
      <items count="3">
        <item x="0"/>
        <item m="1" x="1"/>
        <item t="default"/>
      </items>
    </pivotField>
    <pivotField axis="axisRow" outline="0" showAll="0">
      <items count="18">
        <item m="1" x="8"/>
        <item m="1" x="10"/>
        <item m="1" x="11"/>
        <item m="1" x="13"/>
        <item m="1" x="14"/>
        <item m="1" x="6"/>
        <item m="1" x="7"/>
        <item m="1" x="9"/>
        <item m="1" x="12"/>
        <item m="1" x="15"/>
        <item m="1" x="16"/>
        <item x="1"/>
        <item x="2"/>
        <item x="3"/>
        <item x="4"/>
        <item x="5"/>
        <item x="0"/>
        <item t="default"/>
      </items>
    </pivotField>
    <pivotField axis="axisRow" outline="0" showAll="0">
      <items count="40">
        <item sd="0" m="1" x="24"/>
        <item m="1" x="36"/>
        <item m="1" x="20"/>
        <item sd="0" m="1" x="16"/>
        <item m="1" x="32"/>
        <item sd="0" m="1" x="30"/>
        <item sd="0" m="1" x="13"/>
        <item sd="0" m="1" x="37"/>
        <item sd="0" m="1" x="21"/>
        <item sd="0" m="1" x="26"/>
        <item sd="0" m="1" x="34"/>
        <item m="1" x="29"/>
        <item m="1" x="15"/>
        <item m="1" x="12"/>
        <item m="1" x="27"/>
        <item m="1" x="14"/>
        <item m="1" x="25"/>
        <item m="1" x="33"/>
        <item m="1" x="17"/>
        <item m="1" x="23"/>
        <item m="1" x="38"/>
        <item m="1" x="31"/>
        <item m="1" x="28"/>
        <item m="1" x="22"/>
        <item m="1" x="18"/>
        <item m="1" x="19"/>
        <item m="1" x="35"/>
        <item x="1"/>
        <item x="2"/>
        <item x="3"/>
        <item x="4"/>
        <item x="5"/>
        <item x="6"/>
        <item x="7"/>
        <item x="8"/>
        <item x="9"/>
        <item x="10"/>
        <item m="1" x="11"/>
        <item x="0"/>
        <item t="default"/>
      </items>
    </pivotField>
    <pivotField axis="axisRow" outline="0" showAll="0">
      <items count="17">
        <item m="1" x="6"/>
        <item sd="0" m="1" x="15"/>
        <item sd="0" m="1" x="8"/>
        <item m="1" x="11"/>
        <item x="0"/>
        <item m="1" x="7"/>
        <item m="1" x="13"/>
        <item m="1" x="12"/>
        <item m="1" x="10"/>
        <item m="1" x="14"/>
        <item x="1"/>
        <item x="2"/>
        <item x="3"/>
        <item x="4"/>
        <item m="1" x="9"/>
        <item m="1" x="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7">
        <item m="1" x="5"/>
        <item x="2"/>
        <item x="1"/>
        <item x="3"/>
        <item m="1" x="4"/>
        <item x="0"/>
        <item t="default"/>
      </items>
    </pivotField>
    <pivotField dataField="1" compact="0" outline="0" showAll="0"/>
    <pivotField dataField="1" compact="0" outline="0" showAll="0"/>
    <pivotField dataField="1" compact="0" outline="0" showAll="0"/>
  </pivotFields>
  <rowFields count="5">
    <field x="0"/>
    <field x="1"/>
    <field x="2"/>
    <field x="3"/>
    <field x="4"/>
  </rowFields>
  <rowItems count="46">
    <i>
      <x/>
      <x v="11"/>
      <x v="27"/>
      <x v="10"/>
      <x v="5"/>
    </i>
    <i t="default" r="3">
      <x v="10"/>
    </i>
    <i r="3">
      <x v="11"/>
      <x v="5"/>
    </i>
    <i t="default" r="3">
      <x v="11"/>
    </i>
    <i t="default" r="2">
      <x v="27"/>
    </i>
    <i t="default" r="1">
      <x v="11"/>
    </i>
    <i r="1">
      <x v="12"/>
      <x v="28"/>
      <x v="4"/>
      <x v="5"/>
    </i>
    <i t="default" r="3">
      <x v="4"/>
    </i>
    <i t="default" r="2">
      <x v="28"/>
    </i>
    <i r="2">
      <x v="29"/>
      <x v="4"/>
      <x v="5"/>
    </i>
    <i t="default" r="3">
      <x v="4"/>
    </i>
    <i t="default" r="2">
      <x v="29"/>
    </i>
    <i r="2">
      <x v="30"/>
      <x v="4"/>
      <x v="5"/>
    </i>
    <i t="default" r="3">
      <x v="4"/>
    </i>
    <i t="default" r="2">
      <x v="30"/>
    </i>
    <i r="2">
      <x v="31"/>
      <x v="12"/>
      <x v="2"/>
    </i>
    <i t="default" r="3">
      <x v="12"/>
    </i>
    <i t="default" r="2">
      <x v="31"/>
    </i>
    <i r="2">
      <x v="32"/>
      <x v="4"/>
      <x v="5"/>
    </i>
    <i t="default" r="3">
      <x v="4"/>
    </i>
    <i t="default" r="2">
      <x v="32"/>
    </i>
    <i t="default" r="1">
      <x v="12"/>
    </i>
    <i r="1">
      <x v="13"/>
      <x v="33"/>
      <x v="13"/>
      <x v="1"/>
    </i>
    <i r="4">
      <x v="3"/>
    </i>
    <i t="default" r="3">
      <x v="13"/>
    </i>
    <i t="default" r="2">
      <x v="33"/>
    </i>
    <i t="default" r="1">
      <x v="13"/>
    </i>
    <i r="1">
      <x v="14"/>
      <x v="34"/>
      <x v="4"/>
      <x v="5"/>
    </i>
    <i t="default" r="3">
      <x v="4"/>
    </i>
    <i t="default" r="2">
      <x v="34"/>
    </i>
    <i r="2">
      <x v="35"/>
      <x v="4"/>
      <x v="5"/>
    </i>
    <i t="default" r="3">
      <x v="4"/>
    </i>
    <i t="default" r="2">
      <x v="35"/>
    </i>
    <i t="default" r="1">
      <x v="14"/>
    </i>
    <i r="1">
      <x v="15"/>
      <x v="29"/>
      <x v="4"/>
      <x v="5"/>
    </i>
    <i t="default" r="3">
      <x v="4"/>
    </i>
    <i t="default" r="2">
      <x v="29"/>
    </i>
    <i r="2">
      <x v="36"/>
      <x v="4"/>
      <x v="5"/>
    </i>
    <i t="default" r="3">
      <x v="4"/>
    </i>
    <i t="default" r="2">
      <x v="36"/>
    </i>
    <i t="default" r="1">
      <x v="15"/>
    </i>
    <i r="1">
      <x v="16"/>
      <x v="38"/>
      <x v="4"/>
      <x v="5"/>
    </i>
    <i t="default" r="3">
      <x v="4"/>
    </i>
    <i t="default" r="2">
      <x v="38"/>
    </i>
    <i t="default" r="1">
      <x v="16"/>
    </i>
    <i t="default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me von Wert1" fld="5" baseField="0" baseItem="0"/>
    <dataField name="Summe von Wert2" fld="6" baseField="0" baseItem="0"/>
    <dataField name="Summe von Wert3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769E5-7F7B-4266-8CA5-725C27B3E62F}">
  <dimension ref="A1:Q15"/>
  <sheetViews>
    <sheetView workbookViewId="0">
      <selection activeCell="K3" sqref="K3"/>
    </sheetView>
  </sheetViews>
  <sheetFormatPr baseColWidth="10" defaultRowHeight="15" x14ac:dyDescent="0.25"/>
  <sheetData>
    <row r="1" spans="1:17" x14ac:dyDescent="0.25">
      <c r="A1" t="s">
        <v>40</v>
      </c>
      <c r="B1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J1" t="str">
        <f>A1</f>
        <v>Ebene1</v>
      </c>
      <c r="K1" t="str">
        <f t="shared" ref="K1:Q15" si="0">B1</f>
        <v>Ebene2</v>
      </c>
      <c r="L1" t="str">
        <f t="shared" si="0"/>
        <v>Ebene3</v>
      </c>
      <c r="M1" t="str">
        <f t="shared" si="0"/>
        <v>Ebene4</v>
      </c>
      <c r="N1" t="str">
        <f t="shared" si="0"/>
        <v>Ebene5</v>
      </c>
      <c r="O1" t="str">
        <f t="shared" si="0"/>
        <v>Wert1</v>
      </c>
      <c r="P1" t="str">
        <f t="shared" si="0"/>
        <v>Wert2</v>
      </c>
      <c r="Q1" t="str">
        <f t="shared" si="0"/>
        <v>Wert3</v>
      </c>
    </row>
    <row r="2" spans="1:17" x14ac:dyDescent="0.25">
      <c r="A2" t="s">
        <v>48</v>
      </c>
      <c r="B2" t="s">
        <v>49</v>
      </c>
      <c r="F2">
        <v>345</v>
      </c>
      <c r="G2">
        <v>234</v>
      </c>
      <c r="H2">
        <v>234</v>
      </c>
      <c r="J2" t="str">
        <f>A2</f>
        <v>Stamm</v>
      </c>
      <c r="K2" t="str">
        <f t="shared" ref="K2:K15" si="1">IF(B2=""," ","~"&amp;B2)</f>
        <v>~Titel0</v>
      </c>
      <c r="L2" t="str">
        <f t="shared" ref="L2:L15" si="2">IF(C2=""," ","~~"&amp;C2)</f>
        <v xml:space="preserve"> </v>
      </c>
      <c r="M2" t="str">
        <f t="shared" ref="M2:M15" si="3">IF(D2=""," ","~~~"&amp;D2)</f>
        <v xml:space="preserve"> </v>
      </c>
      <c r="N2" t="str">
        <f t="shared" ref="N2:N15" si="4">IF(E2=""," ","~~~~"&amp;E2)</f>
        <v xml:space="preserve"> </v>
      </c>
      <c r="O2">
        <f t="shared" si="0"/>
        <v>345</v>
      </c>
      <c r="P2">
        <f t="shared" si="0"/>
        <v>234</v>
      </c>
      <c r="Q2">
        <f t="shared" si="0"/>
        <v>234</v>
      </c>
    </row>
    <row r="3" spans="1:17" x14ac:dyDescent="0.25">
      <c r="A3" t="s">
        <v>48</v>
      </c>
      <c r="B3" t="s">
        <v>50</v>
      </c>
      <c r="C3" t="s">
        <v>51</v>
      </c>
      <c r="D3" t="s">
        <v>52</v>
      </c>
      <c r="F3">
        <v>43</v>
      </c>
      <c r="G3">
        <v>234</v>
      </c>
      <c r="H3">
        <v>23</v>
      </c>
      <c r="J3" t="str">
        <f t="shared" ref="J3:J15" si="5">A3</f>
        <v>Stamm</v>
      </c>
      <c r="K3" t="str">
        <f t="shared" si="1"/>
        <v>~Titel1</v>
      </c>
      <c r="L3" t="str">
        <f t="shared" si="2"/>
        <v>~~ewrt</v>
      </c>
      <c r="M3" t="str">
        <f t="shared" si="3"/>
        <v>~~~b</v>
      </c>
      <c r="N3" t="str">
        <f t="shared" si="4"/>
        <v xml:space="preserve"> </v>
      </c>
      <c r="O3">
        <f t="shared" si="0"/>
        <v>43</v>
      </c>
      <c r="P3">
        <f t="shared" si="0"/>
        <v>234</v>
      </c>
      <c r="Q3">
        <f t="shared" si="0"/>
        <v>23</v>
      </c>
    </row>
    <row r="4" spans="1:17" x14ac:dyDescent="0.25">
      <c r="A4" t="s">
        <v>48</v>
      </c>
      <c r="B4" t="s">
        <v>50</v>
      </c>
      <c r="C4" t="s">
        <v>51</v>
      </c>
      <c r="D4" t="s">
        <v>53</v>
      </c>
      <c r="F4">
        <v>3</v>
      </c>
      <c r="G4">
        <v>34</v>
      </c>
      <c r="H4">
        <v>42</v>
      </c>
      <c r="J4" t="str">
        <f t="shared" si="5"/>
        <v>Stamm</v>
      </c>
      <c r="K4" t="str">
        <f t="shared" si="1"/>
        <v>~Titel1</v>
      </c>
      <c r="L4" t="str">
        <f t="shared" si="2"/>
        <v>~~ewrt</v>
      </c>
      <c r="M4" t="str">
        <f t="shared" si="3"/>
        <v>~~~c</v>
      </c>
      <c r="N4" t="str">
        <f t="shared" si="4"/>
        <v xml:space="preserve"> </v>
      </c>
      <c r="O4">
        <f t="shared" si="0"/>
        <v>3</v>
      </c>
      <c r="P4">
        <f t="shared" si="0"/>
        <v>34</v>
      </c>
      <c r="Q4">
        <f t="shared" si="0"/>
        <v>42</v>
      </c>
    </row>
    <row r="5" spans="1:17" x14ac:dyDescent="0.25">
      <c r="A5" t="s">
        <v>48</v>
      </c>
      <c r="B5" t="s">
        <v>54</v>
      </c>
      <c r="C5" t="s">
        <v>55</v>
      </c>
      <c r="F5">
        <v>42</v>
      </c>
      <c r="G5">
        <v>42</v>
      </c>
      <c r="H5">
        <v>4</v>
      </c>
      <c r="J5" t="str">
        <f t="shared" si="5"/>
        <v>Stamm</v>
      </c>
      <c r="K5" t="str">
        <f t="shared" si="1"/>
        <v>~Titel2</v>
      </c>
      <c r="L5" t="str">
        <f t="shared" si="2"/>
        <v>~~w</v>
      </c>
      <c r="M5" t="str">
        <f t="shared" si="3"/>
        <v xml:space="preserve"> </v>
      </c>
      <c r="N5" t="str">
        <f t="shared" si="4"/>
        <v xml:space="preserve"> </v>
      </c>
      <c r="O5">
        <f t="shared" si="0"/>
        <v>42</v>
      </c>
      <c r="P5">
        <f t="shared" si="0"/>
        <v>42</v>
      </c>
      <c r="Q5">
        <f t="shared" si="0"/>
        <v>4</v>
      </c>
    </row>
    <row r="6" spans="1:17" x14ac:dyDescent="0.25">
      <c r="A6" t="s">
        <v>48</v>
      </c>
      <c r="B6" t="s">
        <v>54</v>
      </c>
      <c r="C6" t="s">
        <v>56</v>
      </c>
      <c r="F6">
        <v>3423</v>
      </c>
      <c r="G6">
        <v>23</v>
      </c>
      <c r="H6">
        <v>234</v>
      </c>
      <c r="J6" t="str">
        <f t="shared" si="5"/>
        <v>Stamm</v>
      </c>
      <c r="K6" t="str">
        <f t="shared" si="1"/>
        <v>~Titel2</v>
      </c>
      <c r="L6" t="str">
        <f t="shared" si="2"/>
        <v>~~e</v>
      </c>
      <c r="M6" t="str">
        <f t="shared" si="3"/>
        <v xml:space="preserve"> </v>
      </c>
      <c r="N6" t="str">
        <f t="shared" si="4"/>
        <v xml:space="preserve"> </v>
      </c>
      <c r="O6">
        <f t="shared" si="0"/>
        <v>3423</v>
      </c>
      <c r="P6">
        <f t="shared" si="0"/>
        <v>23</v>
      </c>
      <c r="Q6">
        <f t="shared" si="0"/>
        <v>234</v>
      </c>
    </row>
    <row r="7" spans="1:17" x14ac:dyDescent="0.25">
      <c r="A7" t="s">
        <v>48</v>
      </c>
      <c r="B7" t="s">
        <v>54</v>
      </c>
      <c r="C7" t="s">
        <v>57</v>
      </c>
      <c r="F7">
        <v>42</v>
      </c>
      <c r="G7">
        <v>234</v>
      </c>
      <c r="H7">
        <v>234</v>
      </c>
      <c r="J7" t="str">
        <f t="shared" si="5"/>
        <v>Stamm</v>
      </c>
      <c r="K7" t="str">
        <f t="shared" si="1"/>
        <v>~Titel2</v>
      </c>
      <c r="L7" t="str">
        <f t="shared" si="2"/>
        <v>~~o</v>
      </c>
      <c r="M7" t="str">
        <f t="shared" si="3"/>
        <v xml:space="preserve"> </v>
      </c>
      <c r="N7" t="str">
        <f t="shared" si="4"/>
        <v xml:space="preserve"> </v>
      </c>
      <c r="O7">
        <f t="shared" si="0"/>
        <v>42</v>
      </c>
      <c r="P7">
        <f t="shared" si="0"/>
        <v>234</v>
      </c>
      <c r="Q7">
        <f t="shared" si="0"/>
        <v>234</v>
      </c>
    </row>
    <row r="8" spans="1:17" x14ac:dyDescent="0.25">
      <c r="A8" t="s">
        <v>48</v>
      </c>
      <c r="B8" t="s">
        <v>54</v>
      </c>
      <c r="C8" t="s">
        <v>58</v>
      </c>
      <c r="D8" t="s">
        <v>59</v>
      </c>
      <c r="E8" t="s">
        <v>60</v>
      </c>
      <c r="F8">
        <v>1</v>
      </c>
      <c r="G8">
        <v>1</v>
      </c>
      <c r="H8">
        <v>1</v>
      </c>
      <c r="J8" t="str">
        <f t="shared" si="5"/>
        <v>Stamm</v>
      </c>
      <c r="K8" t="str">
        <f t="shared" si="1"/>
        <v>~Titel2</v>
      </c>
      <c r="L8" t="str">
        <f t="shared" si="2"/>
        <v>~~werqwe</v>
      </c>
      <c r="M8" t="str">
        <f t="shared" si="3"/>
        <v>~~~wer</v>
      </c>
      <c r="N8" t="str">
        <f t="shared" si="4"/>
        <v>~~~~er</v>
      </c>
      <c r="O8">
        <f t="shared" si="0"/>
        <v>1</v>
      </c>
      <c r="P8">
        <f t="shared" si="0"/>
        <v>1</v>
      </c>
      <c r="Q8">
        <f t="shared" si="0"/>
        <v>1</v>
      </c>
    </row>
    <row r="9" spans="1:17" x14ac:dyDescent="0.25">
      <c r="A9" t="s">
        <v>48</v>
      </c>
      <c r="B9" t="s">
        <v>54</v>
      </c>
      <c r="C9" t="s">
        <v>61</v>
      </c>
      <c r="F9">
        <v>3342</v>
      </c>
      <c r="G9">
        <v>34</v>
      </c>
      <c r="H9">
        <v>23</v>
      </c>
      <c r="J9" t="str">
        <f t="shared" si="5"/>
        <v>Stamm</v>
      </c>
      <c r="K9" t="str">
        <f t="shared" si="1"/>
        <v>~Titel2</v>
      </c>
      <c r="L9" t="str">
        <f t="shared" si="2"/>
        <v>~~t</v>
      </c>
      <c r="M9" t="str">
        <f t="shared" si="3"/>
        <v xml:space="preserve"> </v>
      </c>
      <c r="N9" t="str">
        <f t="shared" si="4"/>
        <v xml:space="preserve"> </v>
      </c>
      <c r="O9">
        <f t="shared" si="0"/>
        <v>3342</v>
      </c>
      <c r="P9">
        <f t="shared" si="0"/>
        <v>34</v>
      </c>
      <c r="Q9">
        <f t="shared" si="0"/>
        <v>23</v>
      </c>
    </row>
    <row r="10" spans="1:17" x14ac:dyDescent="0.25">
      <c r="A10" t="s">
        <v>48</v>
      </c>
      <c r="B10" t="s">
        <v>62</v>
      </c>
      <c r="C10" t="s">
        <v>63</v>
      </c>
      <c r="D10" t="s">
        <v>64</v>
      </c>
      <c r="E10" t="s">
        <v>65</v>
      </c>
      <c r="F10">
        <v>34</v>
      </c>
      <c r="G10">
        <v>342</v>
      </c>
      <c r="H10">
        <v>42</v>
      </c>
      <c r="J10" t="str">
        <f t="shared" si="5"/>
        <v>Stamm</v>
      </c>
      <c r="K10" t="str">
        <f t="shared" si="1"/>
        <v>~Titel5</v>
      </c>
      <c r="L10" t="str">
        <f t="shared" si="2"/>
        <v>~~s</v>
      </c>
      <c r="M10" t="str">
        <f t="shared" si="3"/>
        <v>~~~bf</v>
      </c>
      <c r="N10" t="str">
        <f t="shared" si="4"/>
        <v>~~~~ef</v>
      </c>
      <c r="O10">
        <f t="shared" si="0"/>
        <v>34</v>
      </c>
      <c r="P10">
        <f t="shared" si="0"/>
        <v>342</v>
      </c>
      <c r="Q10">
        <f t="shared" si="0"/>
        <v>42</v>
      </c>
    </row>
    <row r="11" spans="1:17" x14ac:dyDescent="0.25">
      <c r="A11" t="s">
        <v>48</v>
      </c>
      <c r="B11" t="s">
        <v>62</v>
      </c>
      <c r="C11" t="s">
        <v>63</v>
      </c>
      <c r="D11" t="s">
        <v>64</v>
      </c>
      <c r="E11" t="s">
        <v>66</v>
      </c>
      <c r="F11">
        <v>2334</v>
      </c>
      <c r="G11">
        <v>2</v>
      </c>
      <c r="H11">
        <v>34</v>
      </c>
      <c r="J11" t="str">
        <f t="shared" si="5"/>
        <v>Stamm</v>
      </c>
      <c r="K11" t="str">
        <f t="shared" si="1"/>
        <v>~Titel5</v>
      </c>
      <c r="L11" t="str">
        <f t="shared" si="2"/>
        <v>~~s</v>
      </c>
      <c r="M11" t="str">
        <f t="shared" si="3"/>
        <v>~~~bf</v>
      </c>
      <c r="N11" t="str">
        <f t="shared" si="4"/>
        <v>~~~~g</v>
      </c>
      <c r="O11">
        <f t="shared" si="0"/>
        <v>2334</v>
      </c>
      <c r="P11">
        <f t="shared" si="0"/>
        <v>2</v>
      </c>
      <c r="Q11">
        <f t="shared" si="0"/>
        <v>34</v>
      </c>
    </row>
    <row r="12" spans="1:17" x14ac:dyDescent="0.25">
      <c r="A12" t="s">
        <v>48</v>
      </c>
      <c r="B12" t="s">
        <v>67</v>
      </c>
      <c r="C12" t="s">
        <v>68</v>
      </c>
      <c r="F12">
        <v>23</v>
      </c>
      <c r="G12">
        <v>234</v>
      </c>
      <c r="H12">
        <v>2334</v>
      </c>
      <c r="J12" t="str">
        <f t="shared" si="5"/>
        <v>Stamm</v>
      </c>
      <c r="K12" t="str">
        <f t="shared" si="1"/>
        <v>~Titel7</v>
      </c>
      <c r="L12" t="str">
        <f t="shared" si="2"/>
        <v>~~n</v>
      </c>
      <c r="M12" t="str">
        <f t="shared" si="3"/>
        <v xml:space="preserve"> </v>
      </c>
      <c r="N12" t="str">
        <f t="shared" si="4"/>
        <v xml:space="preserve"> </v>
      </c>
      <c r="O12">
        <f t="shared" si="0"/>
        <v>23</v>
      </c>
      <c r="P12">
        <f t="shared" si="0"/>
        <v>234</v>
      </c>
      <c r="Q12">
        <f t="shared" si="0"/>
        <v>2334</v>
      </c>
    </row>
    <row r="13" spans="1:17" x14ac:dyDescent="0.25">
      <c r="A13" t="s">
        <v>48</v>
      </c>
      <c r="B13" t="s">
        <v>67</v>
      </c>
      <c r="C13" t="s">
        <v>69</v>
      </c>
      <c r="F13">
        <v>4233</v>
      </c>
      <c r="G13">
        <v>34</v>
      </c>
      <c r="H13">
        <v>24</v>
      </c>
      <c r="J13" t="str">
        <f t="shared" si="5"/>
        <v>Stamm</v>
      </c>
      <c r="K13" t="str">
        <f t="shared" si="1"/>
        <v>~Titel7</v>
      </c>
      <c r="L13" t="str">
        <f t="shared" si="2"/>
        <v>~~f</v>
      </c>
      <c r="M13" t="str">
        <f t="shared" si="3"/>
        <v xml:space="preserve"> </v>
      </c>
      <c r="N13" t="str">
        <f t="shared" si="4"/>
        <v xml:space="preserve"> </v>
      </c>
      <c r="O13">
        <f t="shared" si="0"/>
        <v>4233</v>
      </c>
      <c r="P13">
        <f t="shared" si="0"/>
        <v>34</v>
      </c>
      <c r="Q13">
        <f t="shared" si="0"/>
        <v>24</v>
      </c>
    </row>
    <row r="14" spans="1:17" x14ac:dyDescent="0.25">
      <c r="A14" t="s">
        <v>48</v>
      </c>
      <c r="B14" t="s">
        <v>70</v>
      </c>
      <c r="C14" t="s">
        <v>56</v>
      </c>
      <c r="F14">
        <v>42</v>
      </c>
      <c r="G14">
        <v>2</v>
      </c>
      <c r="H14">
        <v>2</v>
      </c>
      <c r="J14" t="str">
        <f t="shared" si="5"/>
        <v>Stamm</v>
      </c>
      <c r="K14" t="str">
        <f t="shared" si="1"/>
        <v>~Titel8</v>
      </c>
      <c r="L14" t="str">
        <f t="shared" si="2"/>
        <v>~~e</v>
      </c>
      <c r="M14" t="str">
        <f t="shared" si="3"/>
        <v xml:space="preserve"> </v>
      </c>
      <c r="N14" t="str">
        <f t="shared" si="4"/>
        <v xml:space="preserve"> </v>
      </c>
      <c r="O14">
        <f t="shared" si="0"/>
        <v>42</v>
      </c>
      <c r="P14">
        <f t="shared" si="0"/>
        <v>2</v>
      </c>
      <c r="Q14">
        <f t="shared" si="0"/>
        <v>2</v>
      </c>
    </row>
    <row r="15" spans="1:17" x14ac:dyDescent="0.25">
      <c r="A15" t="s">
        <v>48</v>
      </c>
      <c r="B15" t="s">
        <v>70</v>
      </c>
      <c r="C15" t="s">
        <v>66</v>
      </c>
      <c r="F15">
        <v>234</v>
      </c>
      <c r="G15">
        <v>234</v>
      </c>
      <c r="H15">
        <v>34</v>
      </c>
      <c r="J15" t="str">
        <f t="shared" si="5"/>
        <v>Stamm</v>
      </c>
      <c r="K15" t="str">
        <f t="shared" si="1"/>
        <v>~Titel8</v>
      </c>
      <c r="L15" t="str">
        <f t="shared" si="2"/>
        <v>~~g</v>
      </c>
      <c r="M15" t="str">
        <f t="shared" si="3"/>
        <v xml:space="preserve"> </v>
      </c>
      <c r="N15" t="str">
        <f t="shared" si="4"/>
        <v xml:space="preserve"> </v>
      </c>
      <c r="O15">
        <f t="shared" si="0"/>
        <v>234</v>
      </c>
      <c r="P15">
        <f t="shared" si="0"/>
        <v>234</v>
      </c>
      <c r="Q15">
        <f t="shared" si="0"/>
        <v>34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4D393-9DAD-44F1-835B-6DB76A2AC181}">
  <sheetPr filterMode="1"/>
  <dimension ref="A1:I66"/>
  <sheetViews>
    <sheetView tabSelected="1" workbookViewId="0">
      <selection activeCell="K3" sqref="K3"/>
    </sheetView>
  </sheetViews>
  <sheetFormatPr baseColWidth="10" defaultRowHeight="15" x14ac:dyDescent="0.25"/>
  <cols>
    <col min="1" max="1" width="29.7109375" bestFit="1" customWidth="1"/>
    <col min="2" max="8" width="17.5703125" bestFit="1" customWidth="1"/>
  </cols>
  <sheetData>
    <row r="1" spans="1:1" x14ac:dyDescent="0.25">
      <c r="A1" s="1" t="s">
        <v>71</v>
      </c>
    </row>
    <row r="2" spans="1:1" x14ac:dyDescent="0.25">
      <c r="A2" t="s">
        <v>72</v>
      </c>
    </row>
    <row r="3" spans="1:1" x14ac:dyDescent="0.25">
      <c r="A3" t="s">
        <v>73</v>
      </c>
    </row>
    <row r="4" spans="1:1" x14ac:dyDescent="0.25">
      <c r="A4" t="s">
        <v>74</v>
      </c>
    </row>
    <row r="5" spans="1:1" x14ac:dyDescent="0.25">
      <c r="A5" t="s">
        <v>75</v>
      </c>
    </row>
    <row r="6" spans="1:1" x14ac:dyDescent="0.25">
      <c r="A6" t="s">
        <v>76</v>
      </c>
    </row>
    <row r="7" spans="1:1" x14ac:dyDescent="0.25">
      <c r="A7" t="s">
        <v>77</v>
      </c>
    </row>
    <row r="8" spans="1:1" x14ac:dyDescent="0.25">
      <c r="A8" t="s">
        <v>78</v>
      </c>
    </row>
    <row r="9" spans="1:1" x14ac:dyDescent="0.25">
      <c r="A9" t="s">
        <v>79</v>
      </c>
    </row>
    <row r="10" spans="1:1" x14ac:dyDescent="0.25">
      <c r="A10" t="s">
        <v>80</v>
      </c>
    </row>
    <row r="11" spans="1:1" x14ac:dyDescent="0.25">
      <c r="A11" t="s">
        <v>81</v>
      </c>
    </row>
    <row r="12" spans="1:1" x14ac:dyDescent="0.25">
      <c r="A12" t="s">
        <v>82</v>
      </c>
    </row>
    <row r="13" spans="1:1" x14ac:dyDescent="0.25">
      <c r="A13" t="s">
        <v>83</v>
      </c>
    </row>
    <row r="14" spans="1:1" x14ac:dyDescent="0.25">
      <c r="A14" t="s">
        <v>84</v>
      </c>
    </row>
    <row r="15" spans="1:1" x14ac:dyDescent="0.25">
      <c r="A15" t="s">
        <v>85</v>
      </c>
    </row>
    <row r="19" spans="1:9" x14ac:dyDescent="0.25">
      <c r="B19" t="s">
        <v>86</v>
      </c>
    </row>
    <row r="20" spans="1:9" x14ac:dyDescent="0.25">
      <c r="A20" t="s">
        <v>87</v>
      </c>
      <c r="B20" t="s">
        <v>88</v>
      </c>
      <c r="C20" t="s">
        <v>89</v>
      </c>
      <c r="D20" t="s">
        <v>90</v>
      </c>
      <c r="F20" t="str">
        <f t="shared" ref="F20:I21" si="0">A20</f>
        <v>Zeilenbeschriftungen</v>
      </c>
      <c r="G20" t="str">
        <f t="shared" si="0"/>
        <v>Summe von Wert1</v>
      </c>
      <c r="H20" t="str">
        <f t="shared" si="0"/>
        <v>Summe von Wert2</v>
      </c>
      <c r="I20" t="str">
        <f t="shared" si="0"/>
        <v>Summe von Wert3</v>
      </c>
    </row>
    <row r="21" spans="1:9" x14ac:dyDescent="0.25">
      <c r="A21" s="4" t="s">
        <v>48</v>
      </c>
      <c r="B21">
        <v>14141</v>
      </c>
      <c r="C21">
        <v>1684</v>
      </c>
      <c r="D21">
        <v>3265</v>
      </c>
      <c r="F21" t="str">
        <f t="shared" si="0"/>
        <v>Stamm</v>
      </c>
      <c r="G21">
        <f t="shared" si="0"/>
        <v>14141</v>
      </c>
      <c r="H21">
        <f t="shared" si="0"/>
        <v>1684</v>
      </c>
      <c r="I21">
        <f t="shared" si="0"/>
        <v>3265</v>
      </c>
    </row>
    <row r="22" spans="1:9" x14ac:dyDescent="0.25">
      <c r="A22" s="5" t="s">
        <v>91</v>
      </c>
      <c r="B22">
        <v>46</v>
      </c>
      <c r="C22">
        <v>268</v>
      </c>
      <c r="D22">
        <v>65</v>
      </c>
      <c r="F22" t="str">
        <f>SUBSTITUTE(A22,"~"," ")</f>
        <v xml:space="preserve"> Titel1</v>
      </c>
      <c r="G22">
        <f t="shared" ref="G22:I51" si="1">B22</f>
        <v>46</v>
      </c>
      <c r="H22">
        <f t="shared" si="1"/>
        <v>268</v>
      </c>
      <c r="I22">
        <f t="shared" si="1"/>
        <v>65</v>
      </c>
    </row>
    <row r="23" spans="1:9" x14ac:dyDescent="0.25">
      <c r="A23" s="6" t="s">
        <v>92</v>
      </c>
      <c r="B23">
        <v>46</v>
      </c>
      <c r="C23">
        <v>268</v>
      </c>
      <c r="D23">
        <v>65</v>
      </c>
      <c r="F23" t="str">
        <f t="shared" ref="F23:F66" si="2">SUBSTITUTE(A23,"~"," ")</f>
        <v xml:space="preserve">  ewrt</v>
      </c>
      <c r="G23">
        <f t="shared" si="1"/>
        <v>46</v>
      </c>
      <c r="H23">
        <f t="shared" si="1"/>
        <v>268</v>
      </c>
      <c r="I23">
        <f t="shared" si="1"/>
        <v>65</v>
      </c>
    </row>
    <row r="24" spans="1:9" x14ac:dyDescent="0.25">
      <c r="A24" s="7" t="s">
        <v>93</v>
      </c>
      <c r="B24">
        <v>43</v>
      </c>
      <c r="C24">
        <v>234</v>
      </c>
      <c r="D24">
        <v>23</v>
      </c>
      <c r="F24" t="str">
        <f t="shared" si="2"/>
        <v xml:space="preserve">   b</v>
      </c>
      <c r="G24">
        <f t="shared" si="1"/>
        <v>43</v>
      </c>
      <c r="H24">
        <f t="shared" si="1"/>
        <v>234</v>
      </c>
      <c r="I24">
        <f t="shared" si="1"/>
        <v>23</v>
      </c>
    </row>
    <row r="25" spans="1:9" hidden="1" x14ac:dyDescent="0.25">
      <c r="A25" s="8" t="s">
        <v>94</v>
      </c>
      <c r="B25">
        <v>43</v>
      </c>
      <c r="C25">
        <v>234</v>
      </c>
      <c r="D25">
        <v>23</v>
      </c>
      <c r="F25" t="str">
        <f t="shared" si="2"/>
        <v xml:space="preserve"> </v>
      </c>
      <c r="G25">
        <f t="shared" si="1"/>
        <v>43</v>
      </c>
      <c r="H25">
        <f t="shared" si="1"/>
        <v>234</v>
      </c>
      <c r="I25">
        <f t="shared" si="1"/>
        <v>23</v>
      </c>
    </row>
    <row r="26" spans="1:9" x14ac:dyDescent="0.25">
      <c r="A26" s="7" t="s">
        <v>95</v>
      </c>
      <c r="B26">
        <v>3</v>
      </c>
      <c r="C26">
        <v>34</v>
      </c>
      <c r="D26">
        <v>42</v>
      </c>
      <c r="F26" t="str">
        <f t="shared" si="2"/>
        <v xml:space="preserve">   c</v>
      </c>
      <c r="G26">
        <f t="shared" si="1"/>
        <v>3</v>
      </c>
      <c r="H26">
        <f t="shared" si="1"/>
        <v>34</v>
      </c>
      <c r="I26">
        <f t="shared" si="1"/>
        <v>42</v>
      </c>
    </row>
    <row r="27" spans="1:9" hidden="1" x14ac:dyDescent="0.25">
      <c r="A27" s="8" t="s">
        <v>94</v>
      </c>
      <c r="B27">
        <v>3</v>
      </c>
      <c r="C27">
        <v>34</v>
      </c>
      <c r="D27">
        <v>42</v>
      </c>
      <c r="F27" t="str">
        <f t="shared" si="2"/>
        <v xml:space="preserve"> </v>
      </c>
      <c r="G27">
        <f t="shared" si="1"/>
        <v>3</v>
      </c>
      <c r="H27">
        <f t="shared" si="1"/>
        <v>34</v>
      </c>
      <c r="I27">
        <f t="shared" si="1"/>
        <v>42</v>
      </c>
    </row>
    <row r="28" spans="1:9" x14ac:dyDescent="0.25">
      <c r="A28" s="5" t="s">
        <v>96</v>
      </c>
      <c r="B28">
        <v>6850</v>
      </c>
      <c r="C28">
        <v>334</v>
      </c>
      <c r="D28">
        <v>496</v>
      </c>
      <c r="F28" t="str">
        <f t="shared" si="2"/>
        <v xml:space="preserve"> Titel2</v>
      </c>
      <c r="G28">
        <f t="shared" si="1"/>
        <v>6850</v>
      </c>
      <c r="H28">
        <f t="shared" si="1"/>
        <v>334</v>
      </c>
      <c r="I28">
        <f t="shared" si="1"/>
        <v>496</v>
      </c>
    </row>
    <row r="29" spans="1:9" x14ac:dyDescent="0.25">
      <c r="A29" s="6" t="s">
        <v>97</v>
      </c>
      <c r="B29">
        <v>42</v>
      </c>
      <c r="C29">
        <v>42</v>
      </c>
      <c r="D29">
        <v>4</v>
      </c>
      <c r="F29" t="str">
        <f t="shared" si="2"/>
        <v xml:space="preserve">  w</v>
      </c>
      <c r="G29">
        <f t="shared" si="1"/>
        <v>42</v>
      </c>
      <c r="H29">
        <f t="shared" si="1"/>
        <v>42</v>
      </c>
      <c r="I29">
        <f t="shared" si="1"/>
        <v>4</v>
      </c>
    </row>
    <row r="30" spans="1:9" hidden="1" x14ac:dyDescent="0.25">
      <c r="A30" s="7" t="s">
        <v>94</v>
      </c>
      <c r="B30">
        <v>42</v>
      </c>
      <c r="C30">
        <v>42</v>
      </c>
      <c r="D30">
        <v>4</v>
      </c>
      <c r="F30" t="str">
        <f t="shared" si="2"/>
        <v xml:space="preserve"> </v>
      </c>
      <c r="G30">
        <f t="shared" si="1"/>
        <v>42</v>
      </c>
      <c r="H30">
        <f t="shared" si="1"/>
        <v>42</v>
      </c>
      <c r="I30">
        <f t="shared" si="1"/>
        <v>4</v>
      </c>
    </row>
    <row r="31" spans="1:9" hidden="1" x14ac:dyDescent="0.25">
      <c r="A31" s="8" t="s">
        <v>94</v>
      </c>
      <c r="B31">
        <v>42</v>
      </c>
      <c r="C31">
        <v>42</v>
      </c>
      <c r="D31">
        <v>4</v>
      </c>
      <c r="F31" t="str">
        <f t="shared" si="2"/>
        <v xml:space="preserve"> </v>
      </c>
      <c r="G31">
        <f t="shared" si="1"/>
        <v>42</v>
      </c>
      <c r="H31">
        <f t="shared" si="1"/>
        <v>42</v>
      </c>
      <c r="I31">
        <f t="shared" si="1"/>
        <v>4</v>
      </c>
    </row>
    <row r="32" spans="1:9" x14ac:dyDescent="0.25">
      <c r="A32" s="6" t="s">
        <v>98</v>
      </c>
      <c r="B32">
        <v>3423</v>
      </c>
      <c r="C32">
        <v>23</v>
      </c>
      <c r="D32">
        <v>234</v>
      </c>
      <c r="F32" t="str">
        <f t="shared" si="2"/>
        <v xml:space="preserve">  e</v>
      </c>
      <c r="G32">
        <f t="shared" si="1"/>
        <v>3423</v>
      </c>
      <c r="H32">
        <f t="shared" si="1"/>
        <v>23</v>
      </c>
      <c r="I32">
        <f t="shared" si="1"/>
        <v>234</v>
      </c>
    </row>
    <row r="33" spans="1:9" hidden="1" x14ac:dyDescent="0.25">
      <c r="A33" s="7" t="s">
        <v>94</v>
      </c>
      <c r="B33">
        <v>3423</v>
      </c>
      <c r="C33">
        <v>23</v>
      </c>
      <c r="D33">
        <v>234</v>
      </c>
      <c r="F33" t="str">
        <f t="shared" si="2"/>
        <v xml:space="preserve"> </v>
      </c>
      <c r="G33">
        <f t="shared" si="1"/>
        <v>3423</v>
      </c>
      <c r="H33">
        <f t="shared" si="1"/>
        <v>23</v>
      </c>
      <c r="I33">
        <f t="shared" si="1"/>
        <v>234</v>
      </c>
    </row>
    <row r="34" spans="1:9" hidden="1" x14ac:dyDescent="0.25">
      <c r="A34" s="8" t="s">
        <v>94</v>
      </c>
      <c r="B34">
        <v>3423</v>
      </c>
      <c r="C34">
        <v>23</v>
      </c>
      <c r="D34">
        <v>234</v>
      </c>
      <c r="F34" t="str">
        <f t="shared" si="2"/>
        <v xml:space="preserve"> </v>
      </c>
      <c r="G34">
        <f t="shared" si="1"/>
        <v>3423</v>
      </c>
      <c r="H34">
        <f t="shared" si="1"/>
        <v>23</v>
      </c>
      <c r="I34">
        <f t="shared" si="1"/>
        <v>234</v>
      </c>
    </row>
    <row r="35" spans="1:9" x14ac:dyDescent="0.25">
      <c r="A35" s="6" t="s">
        <v>99</v>
      </c>
      <c r="B35">
        <v>42</v>
      </c>
      <c r="C35">
        <v>234</v>
      </c>
      <c r="D35">
        <v>234</v>
      </c>
      <c r="F35" t="str">
        <f t="shared" si="2"/>
        <v xml:space="preserve">  o</v>
      </c>
      <c r="G35">
        <f t="shared" si="1"/>
        <v>42</v>
      </c>
      <c r="H35">
        <f t="shared" si="1"/>
        <v>234</v>
      </c>
      <c r="I35">
        <f t="shared" si="1"/>
        <v>234</v>
      </c>
    </row>
    <row r="36" spans="1:9" hidden="1" x14ac:dyDescent="0.25">
      <c r="A36" s="7" t="s">
        <v>94</v>
      </c>
      <c r="B36">
        <v>42</v>
      </c>
      <c r="C36">
        <v>234</v>
      </c>
      <c r="D36">
        <v>234</v>
      </c>
      <c r="F36" t="str">
        <f t="shared" si="2"/>
        <v xml:space="preserve"> </v>
      </c>
      <c r="G36">
        <f t="shared" si="1"/>
        <v>42</v>
      </c>
      <c r="H36">
        <f t="shared" si="1"/>
        <v>234</v>
      </c>
      <c r="I36">
        <f t="shared" si="1"/>
        <v>234</v>
      </c>
    </row>
    <row r="37" spans="1:9" hidden="1" x14ac:dyDescent="0.25">
      <c r="A37" s="8" t="s">
        <v>94</v>
      </c>
      <c r="B37">
        <v>42</v>
      </c>
      <c r="C37">
        <v>234</v>
      </c>
      <c r="D37">
        <v>234</v>
      </c>
      <c r="F37" t="str">
        <f t="shared" si="2"/>
        <v xml:space="preserve"> </v>
      </c>
      <c r="G37">
        <f t="shared" si="1"/>
        <v>42</v>
      </c>
      <c r="H37">
        <f t="shared" si="1"/>
        <v>234</v>
      </c>
      <c r="I37">
        <f t="shared" si="1"/>
        <v>234</v>
      </c>
    </row>
    <row r="38" spans="1:9" x14ac:dyDescent="0.25">
      <c r="A38" s="6" t="s">
        <v>100</v>
      </c>
      <c r="B38">
        <v>1</v>
      </c>
      <c r="C38">
        <v>1</v>
      </c>
      <c r="D38">
        <v>1</v>
      </c>
      <c r="F38" t="str">
        <f t="shared" si="2"/>
        <v xml:space="preserve">  werqwe</v>
      </c>
      <c r="G38">
        <f t="shared" si="1"/>
        <v>1</v>
      </c>
      <c r="H38">
        <f t="shared" si="1"/>
        <v>1</v>
      </c>
      <c r="I38">
        <f t="shared" si="1"/>
        <v>1</v>
      </c>
    </row>
    <row r="39" spans="1:9" x14ac:dyDescent="0.25">
      <c r="A39" s="7" t="s">
        <v>101</v>
      </c>
      <c r="B39">
        <v>1</v>
      </c>
      <c r="C39">
        <v>1</v>
      </c>
      <c r="D39">
        <v>1</v>
      </c>
      <c r="F39" t="str">
        <f t="shared" si="2"/>
        <v xml:space="preserve">   wer</v>
      </c>
      <c r="G39">
        <f t="shared" si="1"/>
        <v>1</v>
      </c>
      <c r="H39">
        <f t="shared" si="1"/>
        <v>1</v>
      </c>
      <c r="I39">
        <f t="shared" si="1"/>
        <v>1</v>
      </c>
    </row>
    <row r="40" spans="1:9" x14ac:dyDescent="0.25">
      <c r="A40" s="8" t="s">
        <v>102</v>
      </c>
      <c r="B40">
        <v>1</v>
      </c>
      <c r="C40">
        <v>1</v>
      </c>
      <c r="D40">
        <v>1</v>
      </c>
      <c r="F40" t="str">
        <f t="shared" si="2"/>
        <v xml:space="preserve">    er</v>
      </c>
      <c r="G40">
        <f t="shared" si="1"/>
        <v>1</v>
      </c>
      <c r="H40">
        <f t="shared" si="1"/>
        <v>1</v>
      </c>
      <c r="I40">
        <f t="shared" si="1"/>
        <v>1</v>
      </c>
    </row>
    <row r="41" spans="1:9" x14ac:dyDescent="0.25">
      <c r="A41" s="6" t="s">
        <v>103</v>
      </c>
      <c r="B41">
        <v>3342</v>
      </c>
      <c r="C41">
        <v>34</v>
      </c>
      <c r="D41">
        <v>23</v>
      </c>
      <c r="F41" t="str">
        <f t="shared" si="2"/>
        <v xml:space="preserve">  t</v>
      </c>
      <c r="G41">
        <f t="shared" si="1"/>
        <v>3342</v>
      </c>
      <c r="H41">
        <f t="shared" si="1"/>
        <v>34</v>
      </c>
      <c r="I41">
        <f t="shared" si="1"/>
        <v>23</v>
      </c>
    </row>
    <row r="42" spans="1:9" hidden="1" x14ac:dyDescent="0.25">
      <c r="A42" s="7" t="s">
        <v>94</v>
      </c>
      <c r="B42">
        <v>3342</v>
      </c>
      <c r="C42">
        <v>34</v>
      </c>
      <c r="D42">
        <v>23</v>
      </c>
      <c r="F42" t="str">
        <f t="shared" si="2"/>
        <v xml:space="preserve"> </v>
      </c>
      <c r="G42">
        <f t="shared" si="1"/>
        <v>3342</v>
      </c>
      <c r="H42">
        <f t="shared" si="1"/>
        <v>34</v>
      </c>
      <c r="I42">
        <f t="shared" si="1"/>
        <v>23</v>
      </c>
    </row>
    <row r="43" spans="1:9" hidden="1" x14ac:dyDescent="0.25">
      <c r="A43" s="8" t="s">
        <v>94</v>
      </c>
      <c r="B43">
        <v>3342</v>
      </c>
      <c r="C43">
        <v>34</v>
      </c>
      <c r="D43">
        <v>23</v>
      </c>
      <c r="F43" t="str">
        <f t="shared" si="2"/>
        <v xml:space="preserve"> </v>
      </c>
      <c r="G43">
        <f t="shared" si="1"/>
        <v>3342</v>
      </c>
      <c r="H43">
        <f t="shared" si="1"/>
        <v>34</v>
      </c>
      <c r="I43">
        <f t="shared" si="1"/>
        <v>23</v>
      </c>
    </row>
    <row r="44" spans="1:9" x14ac:dyDescent="0.25">
      <c r="A44" s="5" t="s">
        <v>104</v>
      </c>
      <c r="B44">
        <v>2368</v>
      </c>
      <c r="C44">
        <v>344</v>
      </c>
      <c r="D44">
        <v>76</v>
      </c>
      <c r="F44" t="str">
        <f t="shared" si="2"/>
        <v xml:space="preserve"> Titel5</v>
      </c>
      <c r="G44">
        <f t="shared" si="1"/>
        <v>2368</v>
      </c>
      <c r="H44">
        <f t="shared" si="1"/>
        <v>344</v>
      </c>
      <c r="I44">
        <f t="shared" si="1"/>
        <v>76</v>
      </c>
    </row>
    <row r="45" spans="1:9" x14ac:dyDescent="0.25">
      <c r="A45" s="6" t="s">
        <v>105</v>
      </c>
      <c r="B45">
        <v>2368</v>
      </c>
      <c r="C45">
        <v>344</v>
      </c>
      <c r="D45">
        <v>76</v>
      </c>
      <c r="F45" t="str">
        <f t="shared" si="2"/>
        <v xml:space="preserve">  s</v>
      </c>
      <c r="G45">
        <f t="shared" si="1"/>
        <v>2368</v>
      </c>
      <c r="H45">
        <f t="shared" si="1"/>
        <v>344</v>
      </c>
      <c r="I45">
        <f t="shared" si="1"/>
        <v>76</v>
      </c>
    </row>
    <row r="46" spans="1:9" x14ac:dyDescent="0.25">
      <c r="A46" s="7" t="s">
        <v>106</v>
      </c>
      <c r="B46">
        <v>2368</v>
      </c>
      <c r="C46">
        <v>344</v>
      </c>
      <c r="D46">
        <v>76</v>
      </c>
      <c r="F46" t="str">
        <f t="shared" si="2"/>
        <v xml:space="preserve">   bf</v>
      </c>
      <c r="G46">
        <f t="shared" si="1"/>
        <v>2368</v>
      </c>
      <c r="H46">
        <f t="shared" si="1"/>
        <v>344</v>
      </c>
      <c r="I46">
        <f t="shared" si="1"/>
        <v>76</v>
      </c>
    </row>
    <row r="47" spans="1:9" x14ac:dyDescent="0.25">
      <c r="A47" s="8" t="s">
        <v>107</v>
      </c>
      <c r="B47">
        <v>34</v>
      </c>
      <c r="C47">
        <v>342</v>
      </c>
      <c r="D47">
        <v>42</v>
      </c>
      <c r="F47" t="str">
        <f t="shared" si="2"/>
        <v xml:space="preserve">    ef</v>
      </c>
      <c r="G47">
        <f t="shared" si="1"/>
        <v>34</v>
      </c>
      <c r="H47">
        <f t="shared" si="1"/>
        <v>342</v>
      </c>
      <c r="I47">
        <f t="shared" si="1"/>
        <v>42</v>
      </c>
    </row>
    <row r="48" spans="1:9" x14ac:dyDescent="0.25">
      <c r="A48" s="8" t="s">
        <v>108</v>
      </c>
      <c r="B48">
        <v>2334</v>
      </c>
      <c r="C48">
        <v>2</v>
      </c>
      <c r="D48">
        <v>34</v>
      </c>
      <c r="F48" t="str">
        <f t="shared" si="2"/>
        <v xml:space="preserve">    g</v>
      </c>
      <c r="G48">
        <f t="shared" si="1"/>
        <v>2334</v>
      </c>
      <c r="H48">
        <f t="shared" si="1"/>
        <v>2</v>
      </c>
      <c r="I48">
        <f t="shared" si="1"/>
        <v>34</v>
      </c>
    </row>
    <row r="49" spans="1:9" x14ac:dyDescent="0.25">
      <c r="A49" s="5" t="s">
        <v>109</v>
      </c>
      <c r="B49">
        <v>4256</v>
      </c>
      <c r="C49">
        <v>268</v>
      </c>
      <c r="D49">
        <v>2358</v>
      </c>
      <c r="F49" t="str">
        <f t="shared" si="2"/>
        <v xml:space="preserve"> Titel7</v>
      </c>
      <c r="G49">
        <f t="shared" si="1"/>
        <v>4256</v>
      </c>
      <c r="H49">
        <f t="shared" si="1"/>
        <v>268</v>
      </c>
      <c r="I49">
        <f t="shared" si="1"/>
        <v>2358</v>
      </c>
    </row>
    <row r="50" spans="1:9" x14ac:dyDescent="0.25">
      <c r="A50" s="6" t="s">
        <v>110</v>
      </c>
      <c r="B50">
        <v>23</v>
      </c>
      <c r="C50">
        <v>234</v>
      </c>
      <c r="D50">
        <v>2334</v>
      </c>
      <c r="F50" t="str">
        <f t="shared" si="2"/>
        <v xml:space="preserve">  n</v>
      </c>
      <c r="G50">
        <f t="shared" si="1"/>
        <v>23</v>
      </c>
      <c r="H50">
        <f t="shared" si="1"/>
        <v>234</v>
      </c>
      <c r="I50">
        <f t="shared" si="1"/>
        <v>2334</v>
      </c>
    </row>
    <row r="51" spans="1:9" hidden="1" x14ac:dyDescent="0.25">
      <c r="A51" s="7" t="s">
        <v>94</v>
      </c>
      <c r="B51">
        <v>23</v>
      </c>
      <c r="C51">
        <v>234</v>
      </c>
      <c r="D51">
        <v>2334</v>
      </c>
      <c r="F51" t="str">
        <f t="shared" si="2"/>
        <v xml:space="preserve"> </v>
      </c>
      <c r="G51">
        <f t="shared" si="1"/>
        <v>23</v>
      </c>
      <c r="H51">
        <f t="shared" si="1"/>
        <v>234</v>
      </c>
      <c r="I51">
        <f t="shared" si="1"/>
        <v>2334</v>
      </c>
    </row>
    <row r="52" spans="1:9" hidden="1" x14ac:dyDescent="0.25">
      <c r="A52" s="8" t="s">
        <v>94</v>
      </c>
      <c r="B52">
        <v>23</v>
      </c>
      <c r="C52">
        <v>234</v>
      </c>
      <c r="D52">
        <v>2334</v>
      </c>
      <c r="F52" t="str">
        <f t="shared" si="2"/>
        <v xml:space="preserve"> </v>
      </c>
      <c r="G52">
        <f t="shared" ref="G52:I66" si="3">B52</f>
        <v>23</v>
      </c>
      <c r="H52">
        <f t="shared" si="3"/>
        <v>234</v>
      </c>
      <c r="I52">
        <f t="shared" si="3"/>
        <v>2334</v>
      </c>
    </row>
    <row r="53" spans="1:9" x14ac:dyDescent="0.25">
      <c r="A53" s="6" t="s">
        <v>111</v>
      </c>
      <c r="B53">
        <v>4233</v>
      </c>
      <c r="C53">
        <v>34</v>
      </c>
      <c r="D53">
        <v>24</v>
      </c>
      <c r="F53" t="str">
        <f t="shared" si="2"/>
        <v xml:space="preserve">  f</v>
      </c>
      <c r="G53">
        <f t="shared" si="3"/>
        <v>4233</v>
      </c>
      <c r="H53">
        <f t="shared" si="3"/>
        <v>34</v>
      </c>
      <c r="I53">
        <f t="shared" si="3"/>
        <v>24</v>
      </c>
    </row>
    <row r="54" spans="1:9" hidden="1" x14ac:dyDescent="0.25">
      <c r="A54" s="7" t="s">
        <v>94</v>
      </c>
      <c r="B54">
        <v>4233</v>
      </c>
      <c r="C54">
        <v>34</v>
      </c>
      <c r="D54">
        <v>24</v>
      </c>
      <c r="F54" t="str">
        <f t="shared" si="2"/>
        <v xml:space="preserve"> </v>
      </c>
      <c r="G54">
        <f t="shared" si="3"/>
        <v>4233</v>
      </c>
      <c r="H54">
        <f t="shared" si="3"/>
        <v>34</v>
      </c>
      <c r="I54">
        <f t="shared" si="3"/>
        <v>24</v>
      </c>
    </row>
    <row r="55" spans="1:9" hidden="1" x14ac:dyDescent="0.25">
      <c r="A55" s="8" t="s">
        <v>94</v>
      </c>
      <c r="B55">
        <v>4233</v>
      </c>
      <c r="C55">
        <v>34</v>
      </c>
      <c r="D55">
        <v>24</v>
      </c>
      <c r="F55" t="str">
        <f t="shared" si="2"/>
        <v xml:space="preserve"> </v>
      </c>
      <c r="G55">
        <f t="shared" si="3"/>
        <v>4233</v>
      </c>
      <c r="H55">
        <f t="shared" si="3"/>
        <v>34</v>
      </c>
      <c r="I55">
        <f t="shared" si="3"/>
        <v>24</v>
      </c>
    </row>
    <row r="56" spans="1:9" x14ac:dyDescent="0.25">
      <c r="A56" s="5" t="s">
        <v>112</v>
      </c>
      <c r="B56">
        <v>276</v>
      </c>
      <c r="C56">
        <v>236</v>
      </c>
      <c r="D56">
        <v>36</v>
      </c>
      <c r="F56" t="str">
        <f t="shared" si="2"/>
        <v xml:space="preserve"> Titel8</v>
      </c>
      <c r="G56">
        <f t="shared" si="3"/>
        <v>276</v>
      </c>
      <c r="H56">
        <f t="shared" si="3"/>
        <v>236</v>
      </c>
      <c r="I56">
        <f t="shared" si="3"/>
        <v>36</v>
      </c>
    </row>
    <row r="57" spans="1:9" x14ac:dyDescent="0.25">
      <c r="A57" s="6" t="s">
        <v>98</v>
      </c>
      <c r="B57">
        <v>42</v>
      </c>
      <c r="C57">
        <v>2</v>
      </c>
      <c r="D57">
        <v>2</v>
      </c>
      <c r="F57" t="str">
        <f t="shared" si="2"/>
        <v xml:space="preserve">  e</v>
      </c>
      <c r="G57">
        <f t="shared" si="3"/>
        <v>42</v>
      </c>
      <c r="H57">
        <f t="shared" si="3"/>
        <v>2</v>
      </c>
      <c r="I57">
        <f t="shared" si="3"/>
        <v>2</v>
      </c>
    </row>
    <row r="58" spans="1:9" hidden="1" x14ac:dyDescent="0.25">
      <c r="A58" s="7" t="s">
        <v>94</v>
      </c>
      <c r="B58">
        <v>42</v>
      </c>
      <c r="C58">
        <v>2</v>
      </c>
      <c r="D58">
        <v>2</v>
      </c>
      <c r="F58" t="str">
        <f t="shared" si="2"/>
        <v xml:space="preserve"> </v>
      </c>
      <c r="G58">
        <f t="shared" si="3"/>
        <v>42</v>
      </c>
      <c r="H58">
        <f t="shared" si="3"/>
        <v>2</v>
      </c>
      <c r="I58">
        <f t="shared" si="3"/>
        <v>2</v>
      </c>
    </row>
    <row r="59" spans="1:9" hidden="1" x14ac:dyDescent="0.25">
      <c r="A59" s="8" t="s">
        <v>94</v>
      </c>
      <c r="B59">
        <v>42</v>
      </c>
      <c r="C59">
        <v>2</v>
      </c>
      <c r="D59">
        <v>2</v>
      </c>
      <c r="F59" t="str">
        <f t="shared" si="2"/>
        <v xml:space="preserve"> </v>
      </c>
      <c r="G59">
        <f t="shared" si="3"/>
        <v>42</v>
      </c>
      <c r="H59">
        <f t="shared" si="3"/>
        <v>2</v>
      </c>
      <c r="I59">
        <f t="shared" si="3"/>
        <v>2</v>
      </c>
    </row>
    <row r="60" spans="1:9" x14ac:dyDescent="0.25">
      <c r="A60" s="6" t="s">
        <v>113</v>
      </c>
      <c r="B60">
        <v>234</v>
      </c>
      <c r="C60">
        <v>234</v>
      </c>
      <c r="D60">
        <v>34</v>
      </c>
      <c r="F60" t="str">
        <f t="shared" si="2"/>
        <v xml:space="preserve">  g</v>
      </c>
      <c r="G60">
        <f t="shared" si="3"/>
        <v>234</v>
      </c>
      <c r="H60">
        <f t="shared" si="3"/>
        <v>234</v>
      </c>
      <c r="I60">
        <f t="shared" si="3"/>
        <v>34</v>
      </c>
    </row>
    <row r="61" spans="1:9" hidden="1" x14ac:dyDescent="0.25">
      <c r="A61" s="7" t="s">
        <v>94</v>
      </c>
      <c r="B61">
        <v>234</v>
      </c>
      <c r="C61">
        <v>234</v>
      </c>
      <c r="D61">
        <v>34</v>
      </c>
      <c r="F61" t="str">
        <f t="shared" si="2"/>
        <v xml:space="preserve"> </v>
      </c>
      <c r="G61">
        <f t="shared" si="3"/>
        <v>234</v>
      </c>
      <c r="H61">
        <f t="shared" si="3"/>
        <v>234</v>
      </c>
      <c r="I61">
        <f t="shared" si="3"/>
        <v>34</v>
      </c>
    </row>
    <row r="62" spans="1:9" hidden="1" x14ac:dyDescent="0.25">
      <c r="A62" s="8" t="s">
        <v>94</v>
      </c>
      <c r="B62">
        <v>234</v>
      </c>
      <c r="C62">
        <v>234</v>
      </c>
      <c r="D62">
        <v>34</v>
      </c>
      <c r="F62" t="str">
        <f t="shared" si="2"/>
        <v xml:space="preserve"> </v>
      </c>
      <c r="G62">
        <f t="shared" si="3"/>
        <v>234</v>
      </c>
      <c r="H62">
        <f t="shared" si="3"/>
        <v>234</v>
      </c>
      <c r="I62">
        <f t="shared" si="3"/>
        <v>34</v>
      </c>
    </row>
    <row r="63" spans="1:9" x14ac:dyDescent="0.25">
      <c r="A63" s="5" t="s">
        <v>114</v>
      </c>
      <c r="B63">
        <v>345</v>
      </c>
      <c r="C63">
        <v>234</v>
      </c>
      <c r="D63">
        <v>234</v>
      </c>
      <c r="F63" t="str">
        <f t="shared" si="2"/>
        <v xml:space="preserve"> Titel0</v>
      </c>
      <c r="G63">
        <f t="shared" si="3"/>
        <v>345</v>
      </c>
      <c r="H63">
        <f t="shared" si="3"/>
        <v>234</v>
      </c>
      <c r="I63">
        <f t="shared" si="3"/>
        <v>234</v>
      </c>
    </row>
    <row r="64" spans="1:9" hidden="1" x14ac:dyDescent="0.25">
      <c r="A64" s="6" t="s">
        <v>94</v>
      </c>
      <c r="B64">
        <v>345</v>
      </c>
      <c r="C64">
        <v>234</v>
      </c>
      <c r="D64">
        <v>234</v>
      </c>
      <c r="F64" t="str">
        <f t="shared" si="2"/>
        <v xml:space="preserve"> </v>
      </c>
      <c r="G64">
        <f t="shared" si="3"/>
        <v>345</v>
      </c>
      <c r="H64">
        <f t="shared" si="3"/>
        <v>234</v>
      </c>
      <c r="I64">
        <f t="shared" si="3"/>
        <v>234</v>
      </c>
    </row>
    <row r="65" spans="1:9" hidden="1" x14ac:dyDescent="0.25">
      <c r="A65" s="7" t="s">
        <v>94</v>
      </c>
      <c r="B65">
        <v>345</v>
      </c>
      <c r="C65">
        <v>234</v>
      </c>
      <c r="D65">
        <v>234</v>
      </c>
      <c r="F65" t="str">
        <f t="shared" si="2"/>
        <v xml:space="preserve"> </v>
      </c>
      <c r="G65">
        <f t="shared" si="3"/>
        <v>345</v>
      </c>
      <c r="H65">
        <f t="shared" si="3"/>
        <v>234</v>
      </c>
      <c r="I65">
        <f t="shared" si="3"/>
        <v>234</v>
      </c>
    </row>
    <row r="66" spans="1:9" hidden="1" x14ac:dyDescent="0.25">
      <c r="A66" s="8" t="s">
        <v>94</v>
      </c>
      <c r="B66">
        <v>345</v>
      </c>
      <c r="C66">
        <v>234</v>
      </c>
      <c r="D66">
        <v>234</v>
      </c>
      <c r="F66" t="str">
        <f t="shared" si="2"/>
        <v xml:space="preserve"> </v>
      </c>
      <c r="G66">
        <f t="shared" si="3"/>
        <v>345</v>
      </c>
      <c r="H66">
        <f t="shared" si="3"/>
        <v>234</v>
      </c>
      <c r="I66">
        <f t="shared" si="3"/>
        <v>234</v>
      </c>
    </row>
  </sheetData>
  <autoFilter ref="F21:I66" xr:uid="{FF964482-0742-42DA-9915-96FF0430492A}">
    <filterColumn colId="0">
      <customFilters>
        <customFilter operator="notEqual" val=" "/>
      </customFilters>
    </filterColumn>
  </autoFilter>
  <pageMargins left="0.7" right="0.7" top="0.78740157499999996" bottom="0.78740157499999996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BB9C4-F288-4421-92D4-639841D660D2}">
  <dimension ref="A4:H51"/>
  <sheetViews>
    <sheetView workbookViewId="0">
      <selection activeCell="K3" sqref="K3"/>
    </sheetView>
  </sheetViews>
  <sheetFormatPr baseColWidth="10" defaultRowHeight="15" x14ac:dyDescent="0.25"/>
  <cols>
    <col min="1" max="1" width="22.42578125" bestFit="1" customWidth="1"/>
    <col min="2" max="2" width="15" bestFit="1" customWidth="1"/>
    <col min="3" max="3" width="18.42578125" bestFit="1" customWidth="1"/>
    <col min="4" max="4" width="15.42578125" bestFit="1" customWidth="1"/>
    <col min="5" max="5" width="9.85546875" bestFit="1" customWidth="1"/>
    <col min="6" max="8" width="17.5703125" bestFit="1" customWidth="1"/>
  </cols>
  <sheetData>
    <row r="4" spans="1:8" x14ac:dyDescent="0.25">
      <c r="F4" t="s">
        <v>86</v>
      </c>
    </row>
    <row r="5" spans="1:8" x14ac:dyDescent="0.25">
      <c r="A5" t="s">
        <v>87</v>
      </c>
      <c r="B5" t="s">
        <v>41</v>
      </c>
      <c r="C5" t="s">
        <v>42</v>
      </c>
      <c r="D5" t="s">
        <v>43</v>
      </c>
      <c r="E5" t="s">
        <v>44</v>
      </c>
      <c r="F5" t="s">
        <v>88</v>
      </c>
      <c r="G5" t="s">
        <v>89</v>
      </c>
      <c r="H5" t="s">
        <v>90</v>
      </c>
    </row>
    <row r="6" spans="1:8" x14ac:dyDescent="0.25">
      <c r="A6" t="s">
        <v>48</v>
      </c>
      <c r="B6" t="s">
        <v>91</v>
      </c>
      <c r="C6" t="s">
        <v>92</v>
      </c>
      <c r="D6" t="s">
        <v>93</v>
      </c>
      <c r="E6" t="s">
        <v>94</v>
      </c>
      <c r="F6">
        <v>43</v>
      </c>
      <c r="G6">
        <v>234</v>
      </c>
      <c r="H6">
        <v>23</v>
      </c>
    </row>
    <row r="7" spans="1:8" x14ac:dyDescent="0.25">
      <c r="D7" t="s">
        <v>115</v>
      </c>
      <c r="F7">
        <v>43</v>
      </c>
      <c r="G7">
        <v>234</v>
      </c>
      <c r="H7">
        <v>23</v>
      </c>
    </row>
    <row r="8" spans="1:8" x14ac:dyDescent="0.25">
      <c r="D8" t="s">
        <v>95</v>
      </c>
      <c r="E8" t="s">
        <v>94</v>
      </c>
      <c r="F8">
        <v>3</v>
      </c>
      <c r="G8">
        <v>34</v>
      </c>
      <c r="H8">
        <v>42</v>
      </c>
    </row>
    <row r="9" spans="1:8" x14ac:dyDescent="0.25">
      <c r="D9" t="s">
        <v>116</v>
      </c>
      <c r="F9">
        <v>3</v>
      </c>
      <c r="G9">
        <v>34</v>
      </c>
      <c r="H9">
        <v>42</v>
      </c>
    </row>
    <row r="10" spans="1:8" x14ac:dyDescent="0.25">
      <c r="C10" t="s">
        <v>117</v>
      </c>
      <c r="F10">
        <v>46</v>
      </c>
      <c r="G10">
        <v>268</v>
      </c>
      <c r="H10">
        <v>65</v>
      </c>
    </row>
    <row r="11" spans="1:8" x14ac:dyDescent="0.25">
      <c r="B11" t="s">
        <v>118</v>
      </c>
      <c r="F11">
        <v>46</v>
      </c>
      <c r="G11">
        <v>268</v>
      </c>
      <c r="H11">
        <v>65</v>
      </c>
    </row>
    <row r="12" spans="1:8" x14ac:dyDescent="0.25">
      <c r="B12" t="s">
        <v>96</v>
      </c>
      <c r="C12" t="s">
        <v>97</v>
      </c>
      <c r="D12" t="s">
        <v>94</v>
      </c>
      <c r="E12" t="s">
        <v>94</v>
      </c>
      <c r="F12">
        <v>42</v>
      </c>
      <c r="G12">
        <v>42</v>
      </c>
      <c r="H12">
        <v>4</v>
      </c>
    </row>
    <row r="13" spans="1:8" x14ac:dyDescent="0.25">
      <c r="D13" t="s">
        <v>119</v>
      </c>
      <c r="F13">
        <v>42</v>
      </c>
      <c r="G13">
        <v>42</v>
      </c>
      <c r="H13">
        <v>4</v>
      </c>
    </row>
    <row r="14" spans="1:8" x14ac:dyDescent="0.25">
      <c r="C14" t="s">
        <v>120</v>
      </c>
      <c r="F14">
        <v>42</v>
      </c>
      <c r="G14">
        <v>42</v>
      </c>
      <c r="H14">
        <v>4</v>
      </c>
    </row>
    <row r="15" spans="1:8" x14ac:dyDescent="0.25">
      <c r="C15" t="s">
        <v>98</v>
      </c>
      <c r="D15" t="s">
        <v>94</v>
      </c>
      <c r="E15" t="s">
        <v>94</v>
      </c>
      <c r="F15">
        <v>3423</v>
      </c>
      <c r="G15">
        <v>23</v>
      </c>
      <c r="H15">
        <v>234</v>
      </c>
    </row>
    <row r="16" spans="1:8" x14ac:dyDescent="0.25">
      <c r="D16" t="s">
        <v>119</v>
      </c>
      <c r="F16">
        <v>3423</v>
      </c>
      <c r="G16">
        <v>23</v>
      </c>
      <c r="H16">
        <v>234</v>
      </c>
    </row>
    <row r="17" spans="2:8" x14ac:dyDescent="0.25">
      <c r="C17" t="s">
        <v>121</v>
      </c>
      <c r="F17">
        <v>3423</v>
      </c>
      <c r="G17">
        <v>23</v>
      </c>
      <c r="H17">
        <v>234</v>
      </c>
    </row>
    <row r="18" spans="2:8" x14ac:dyDescent="0.25">
      <c r="C18" t="s">
        <v>99</v>
      </c>
      <c r="D18" t="s">
        <v>94</v>
      </c>
      <c r="E18" t="s">
        <v>94</v>
      </c>
      <c r="F18">
        <v>42</v>
      </c>
      <c r="G18">
        <v>234</v>
      </c>
      <c r="H18">
        <v>234</v>
      </c>
    </row>
    <row r="19" spans="2:8" x14ac:dyDescent="0.25">
      <c r="D19" t="s">
        <v>119</v>
      </c>
      <c r="F19">
        <v>42</v>
      </c>
      <c r="G19">
        <v>234</v>
      </c>
      <c r="H19">
        <v>234</v>
      </c>
    </row>
    <row r="20" spans="2:8" x14ac:dyDescent="0.25">
      <c r="C20" t="s">
        <v>122</v>
      </c>
      <c r="F20">
        <v>42</v>
      </c>
      <c r="G20">
        <v>234</v>
      </c>
      <c r="H20">
        <v>234</v>
      </c>
    </row>
    <row r="21" spans="2:8" x14ac:dyDescent="0.25">
      <c r="C21" t="s">
        <v>100</v>
      </c>
      <c r="D21" t="s">
        <v>101</v>
      </c>
      <c r="E21" t="s">
        <v>102</v>
      </c>
      <c r="F21">
        <v>1</v>
      </c>
      <c r="G21">
        <v>1</v>
      </c>
      <c r="H21">
        <v>1</v>
      </c>
    </row>
    <row r="22" spans="2:8" x14ac:dyDescent="0.25">
      <c r="D22" t="s">
        <v>123</v>
      </c>
      <c r="F22">
        <v>1</v>
      </c>
      <c r="G22">
        <v>1</v>
      </c>
      <c r="H22">
        <v>1</v>
      </c>
    </row>
    <row r="23" spans="2:8" x14ac:dyDescent="0.25">
      <c r="C23" t="s">
        <v>124</v>
      </c>
      <c r="F23">
        <v>1</v>
      </c>
      <c r="G23">
        <v>1</v>
      </c>
      <c r="H23">
        <v>1</v>
      </c>
    </row>
    <row r="24" spans="2:8" x14ac:dyDescent="0.25">
      <c r="C24" t="s">
        <v>103</v>
      </c>
      <c r="D24" t="s">
        <v>94</v>
      </c>
      <c r="E24" t="s">
        <v>94</v>
      </c>
      <c r="F24">
        <v>3342</v>
      </c>
      <c r="G24">
        <v>34</v>
      </c>
      <c r="H24">
        <v>23</v>
      </c>
    </row>
    <row r="25" spans="2:8" x14ac:dyDescent="0.25">
      <c r="D25" t="s">
        <v>119</v>
      </c>
      <c r="F25">
        <v>3342</v>
      </c>
      <c r="G25">
        <v>34</v>
      </c>
      <c r="H25">
        <v>23</v>
      </c>
    </row>
    <row r="26" spans="2:8" x14ac:dyDescent="0.25">
      <c r="C26" t="s">
        <v>125</v>
      </c>
      <c r="F26">
        <v>3342</v>
      </c>
      <c r="G26">
        <v>34</v>
      </c>
      <c r="H26">
        <v>23</v>
      </c>
    </row>
    <row r="27" spans="2:8" x14ac:dyDescent="0.25">
      <c r="B27" t="s">
        <v>126</v>
      </c>
      <c r="F27">
        <v>6850</v>
      </c>
      <c r="G27">
        <v>334</v>
      </c>
      <c r="H27">
        <v>496</v>
      </c>
    </row>
    <row r="28" spans="2:8" x14ac:dyDescent="0.25">
      <c r="B28" t="s">
        <v>104</v>
      </c>
      <c r="C28" t="s">
        <v>105</v>
      </c>
      <c r="D28" t="s">
        <v>106</v>
      </c>
      <c r="E28" t="s">
        <v>107</v>
      </c>
      <c r="F28">
        <v>34</v>
      </c>
      <c r="G28">
        <v>342</v>
      </c>
      <c r="H28">
        <v>42</v>
      </c>
    </row>
    <row r="29" spans="2:8" x14ac:dyDescent="0.25">
      <c r="D29" t="s">
        <v>106</v>
      </c>
      <c r="E29" t="s">
        <v>108</v>
      </c>
      <c r="F29">
        <v>2334</v>
      </c>
      <c r="G29">
        <v>2</v>
      </c>
      <c r="H29">
        <v>34</v>
      </c>
    </row>
    <row r="30" spans="2:8" x14ac:dyDescent="0.25">
      <c r="D30" t="s">
        <v>127</v>
      </c>
      <c r="F30">
        <v>2368</v>
      </c>
      <c r="G30">
        <v>344</v>
      </c>
      <c r="H30">
        <v>76</v>
      </c>
    </row>
    <row r="31" spans="2:8" x14ac:dyDescent="0.25">
      <c r="C31" t="s">
        <v>128</v>
      </c>
      <c r="F31">
        <v>2368</v>
      </c>
      <c r="G31">
        <v>344</v>
      </c>
      <c r="H31">
        <v>76</v>
      </c>
    </row>
    <row r="32" spans="2:8" x14ac:dyDescent="0.25">
      <c r="B32" t="s">
        <v>129</v>
      </c>
      <c r="F32">
        <v>2368</v>
      </c>
      <c r="G32">
        <v>344</v>
      </c>
      <c r="H32">
        <v>76</v>
      </c>
    </row>
    <row r="33" spans="2:8" x14ac:dyDescent="0.25">
      <c r="B33" t="s">
        <v>109</v>
      </c>
      <c r="C33" t="s">
        <v>110</v>
      </c>
      <c r="D33" t="s">
        <v>94</v>
      </c>
      <c r="E33" t="s">
        <v>94</v>
      </c>
      <c r="F33">
        <v>23</v>
      </c>
      <c r="G33">
        <v>234</v>
      </c>
      <c r="H33">
        <v>2334</v>
      </c>
    </row>
    <row r="34" spans="2:8" x14ac:dyDescent="0.25">
      <c r="D34" t="s">
        <v>119</v>
      </c>
      <c r="F34">
        <v>23</v>
      </c>
      <c r="G34">
        <v>234</v>
      </c>
      <c r="H34">
        <v>2334</v>
      </c>
    </row>
    <row r="35" spans="2:8" x14ac:dyDescent="0.25">
      <c r="C35" t="s">
        <v>130</v>
      </c>
      <c r="F35">
        <v>23</v>
      </c>
      <c r="G35">
        <v>234</v>
      </c>
      <c r="H35">
        <v>2334</v>
      </c>
    </row>
    <row r="36" spans="2:8" x14ac:dyDescent="0.25">
      <c r="C36" t="s">
        <v>111</v>
      </c>
      <c r="D36" t="s">
        <v>94</v>
      </c>
      <c r="E36" t="s">
        <v>94</v>
      </c>
      <c r="F36">
        <v>4233</v>
      </c>
      <c r="G36">
        <v>34</v>
      </c>
      <c r="H36">
        <v>24</v>
      </c>
    </row>
    <row r="37" spans="2:8" x14ac:dyDescent="0.25">
      <c r="D37" t="s">
        <v>119</v>
      </c>
      <c r="F37">
        <v>4233</v>
      </c>
      <c r="G37">
        <v>34</v>
      </c>
      <c r="H37">
        <v>24</v>
      </c>
    </row>
    <row r="38" spans="2:8" x14ac:dyDescent="0.25">
      <c r="C38" t="s">
        <v>131</v>
      </c>
      <c r="F38">
        <v>4233</v>
      </c>
      <c r="G38">
        <v>34</v>
      </c>
      <c r="H38">
        <v>24</v>
      </c>
    </row>
    <row r="39" spans="2:8" x14ac:dyDescent="0.25">
      <c r="B39" t="s">
        <v>132</v>
      </c>
      <c r="F39">
        <v>4256</v>
      </c>
      <c r="G39">
        <v>268</v>
      </c>
      <c r="H39">
        <v>2358</v>
      </c>
    </row>
    <row r="40" spans="2:8" x14ac:dyDescent="0.25">
      <c r="B40" t="s">
        <v>112</v>
      </c>
      <c r="C40" t="s">
        <v>98</v>
      </c>
      <c r="D40" t="s">
        <v>94</v>
      </c>
      <c r="E40" t="s">
        <v>94</v>
      </c>
      <c r="F40">
        <v>42</v>
      </c>
      <c r="G40">
        <v>2</v>
      </c>
      <c r="H40">
        <v>2</v>
      </c>
    </row>
    <row r="41" spans="2:8" x14ac:dyDescent="0.25">
      <c r="D41" t="s">
        <v>119</v>
      </c>
      <c r="F41">
        <v>42</v>
      </c>
      <c r="G41">
        <v>2</v>
      </c>
      <c r="H41">
        <v>2</v>
      </c>
    </row>
    <row r="42" spans="2:8" x14ac:dyDescent="0.25">
      <c r="C42" t="s">
        <v>121</v>
      </c>
      <c r="F42">
        <v>42</v>
      </c>
      <c r="G42">
        <v>2</v>
      </c>
      <c r="H42">
        <v>2</v>
      </c>
    </row>
    <row r="43" spans="2:8" x14ac:dyDescent="0.25">
      <c r="C43" t="s">
        <v>113</v>
      </c>
      <c r="D43" t="s">
        <v>94</v>
      </c>
      <c r="E43" t="s">
        <v>94</v>
      </c>
      <c r="F43">
        <v>234</v>
      </c>
      <c r="G43">
        <v>234</v>
      </c>
      <c r="H43">
        <v>34</v>
      </c>
    </row>
    <row r="44" spans="2:8" x14ac:dyDescent="0.25">
      <c r="D44" t="s">
        <v>119</v>
      </c>
      <c r="F44">
        <v>234</v>
      </c>
      <c r="G44">
        <v>234</v>
      </c>
      <c r="H44">
        <v>34</v>
      </c>
    </row>
    <row r="45" spans="2:8" x14ac:dyDescent="0.25">
      <c r="C45" t="s">
        <v>133</v>
      </c>
      <c r="F45">
        <v>234</v>
      </c>
      <c r="G45">
        <v>234</v>
      </c>
      <c r="H45">
        <v>34</v>
      </c>
    </row>
    <row r="46" spans="2:8" x14ac:dyDescent="0.25">
      <c r="B46" t="s">
        <v>134</v>
      </c>
      <c r="F46">
        <v>276</v>
      </c>
      <c r="G46">
        <v>236</v>
      </c>
      <c r="H46">
        <v>36</v>
      </c>
    </row>
    <row r="47" spans="2:8" x14ac:dyDescent="0.25">
      <c r="B47" t="s">
        <v>114</v>
      </c>
      <c r="C47" t="s">
        <v>94</v>
      </c>
      <c r="D47" t="s">
        <v>94</v>
      </c>
      <c r="E47" t="s">
        <v>94</v>
      </c>
      <c r="F47">
        <v>345</v>
      </c>
      <c r="G47">
        <v>234</v>
      </c>
      <c r="H47">
        <v>234</v>
      </c>
    </row>
    <row r="48" spans="2:8" x14ac:dyDescent="0.25">
      <c r="D48" t="s">
        <v>119</v>
      </c>
      <c r="F48">
        <v>345</v>
      </c>
      <c r="G48">
        <v>234</v>
      </c>
      <c r="H48">
        <v>234</v>
      </c>
    </row>
    <row r="49" spans="1:8" x14ac:dyDescent="0.25">
      <c r="C49" t="s">
        <v>119</v>
      </c>
      <c r="F49">
        <v>345</v>
      </c>
      <c r="G49">
        <v>234</v>
      </c>
      <c r="H49">
        <v>234</v>
      </c>
    </row>
    <row r="50" spans="1:8" x14ac:dyDescent="0.25">
      <c r="B50" t="s">
        <v>135</v>
      </c>
      <c r="F50">
        <v>345</v>
      </c>
      <c r="G50">
        <v>234</v>
      </c>
      <c r="H50">
        <v>234</v>
      </c>
    </row>
    <row r="51" spans="1:8" x14ac:dyDescent="0.25">
      <c r="A51" t="s">
        <v>136</v>
      </c>
      <c r="F51">
        <v>14141</v>
      </c>
      <c r="G51">
        <v>1684</v>
      </c>
      <c r="H51">
        <v>3265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DFCFE1-4571-4402-8ECE-C217729E0D94}">
  <sheetPr codeName="Tabelle5"/>
  <dimension ref="A1:I153"/>
  <sheetViews>
    <sheetView workbookViewId="0">
      <pane ySplit="1" topLeftCell="A2" activePane="bottomLeft" state="frozen"/>
      <selection pane="bottomLeft" activeCell="C12" sqref="C12"/>
    </sheetView>
  </sheetViews>
  <sheetFormatPr baseColWidth="10" defaultRowHeight="15" x14ac:dyDescent="0.25"/>
  <cols>
    <col min="1" max="1" width="79.42578125" customWidth="1"/>
    <col min="2" max="2" width="23.28515625" customWidth="1"/>
    <col min="3" max="3" width="13.7109375" customWidth="1"/>
    <col min="5" max="5" width="9.42578125" customWidth="1"/>
  </cols>
  <sheetData>
    <row r="1" spans="1:9" ht="40.5" customHeight="1" x14ac:dyDescent="0.25">
      <c r="A1" t="s">
        <v>9</v>
      </c>
      <c r="C1">
        <f>SUM(D1:XFD1)</f>
        <v>0</v>
      </c>
      <c r="D1">
        <v>1</v>
      </c>
      <c r="E1">
        <v>1</v>
      </c>
      <c r="F1">
        <v>-2</v>
      </c>
      <c r="G1">
        <v>1</v>
      </c>
      <c r="H1">
        <v>-1</v>
      </c>
    </row>
    <row r="2" spans="1:9" x14ac:dyDescent="0.25">
      <c r="A2" t="s">
        <v>19</v>
      </c>
      <c r="B2" t="s">
        <v>1</v>
      </c>
      <c r="C2" t="s">
        <v>16</v>
      </c>
      <c r="D2" s="3" t="s">
        <v>10</v>
      </c>
      <c r="E2" s="3" t="s">
        <v>11</v>
      </c>
      <c r="F2" s="3" t="s">
        <v>12</v>
      </c>
      <c r="G2" s="3" t="s">
        <v>13</v>
      </c>
      <c r="H2" s="3" t="s">
        <v>14</v>
      </c>
      <c r="I2" s="3" t="s">
        <v>15</v>
      </c>
    </row>
    <row r="3" spans="1:9" x14ac:dyDescent="0.25">
      <c r="A3" t="s">
        <v>20</v>
      </c>
      <c r="B3" t="s">
        <v>8</v>
      </c>
      <c r="C3" t="s">
        <v>17</v>
      </c>
      <c r="D3" s="3" t="s">
        <v>10</v>
      </c>
      <c r="E3" s="3" t="s">
        <v>11</v>
      </c>
      <c r="F3" s="3" t="s">
        <v>12</v>
      </c>
      <c r="G3" s="3" t="s">
        <v>13</v>
      </c>
      <c r="H3" t="s">
        <v>14</v>
      </c>
      <c r="I3" t="s">
        <v>15</v>
      </c>
    </row>
    <row r="4" spans="1:9" x14ac:dyDescent="0.25">
      <c r="A4" t="s">
        <v>21</v>
      </c>
      <c r="B4" t="s">
        <v>8</v>
      </c>
      <c r="C4" t="s">
        <v>18</v>
      </c>
      <c r="D4" t="s">
        <v>10</v>
      </c>
      <c r="E4" s="3" t="s">
        <v>11</v>
      </c>
      <c r="F4" s="3" t="s">
        <v>12</v>
      </c>
      <c r="G4" t="s">
        <v>13</v>
      </c>
      <c r="H4" t="s">
        <v>14</v>
      </c>
      <c r="I4" t="s">
        <v>15</v>
      </c>
    </row>
    <row r="5" spans="1:9" x14ac:dyDescent="0.25">
      <c r="A5" s="2" t="s">
        <v>22</v>
      </c>
      <c r="B5" t="s">
        <v>8</v>
      </c>
    </row>
    <row r="6" spans="1:9" x14ac:dyDescent="0.25">
      <c r="A6" s="2" t="s">
        <v>0</v>
      </c>
      <c r="D6" s="3"/>
    </row>
    <row r="7" spans="1:9" x14ac:dyDescent="0.25">
      <c r="A7" s="2" t="s">
        <v>0</v>
      </c>
    </row>
    <row r="8" spans="1:9" x14ac:dyDescent="0.25">
      <c r="A8" s="2" t="s">
        <v>23</v>
      </c>
      <c r="B8" t="s">
        <v>8</v>
      </c>
    </row>
    <row r="9" spans="1:9" x14ac:dyDescent="0.25">
      <c r="A9" s="2" t="s">
        <v>24</v>
      </c>
      <c r="B9" t="s">
        <v>8</v>
      </c>
    </row>
    <row r="10" spans="1:9" x14ac:dyDescent="0.25">
      <c r="A10" s="2" t="s">
        <v>0</v>
      </c>
    </row>
    <row r="11" spans="1:9" x14ac:dyDescent="0.25">
      <c r="A11" s="2" t="s">
        <v>25</v>
      </c>
      <c r="B11" t="s">
        <v>8</v>
      </c>
    </row>
    <row r="12" spans="1:9" x14ac:dyDescent="0.25">
      <c r="A12" t="s">
        <v>0</v>
      </c>
    </row>
    <row r="13" spans="1:9" x14ac:dyDescent="0.25">
      <c r="A13" s="2" t="s">
        <v>26</v>
      </c>
      <c r="B13" t="s">
        <v>1</v>
      </c>
    </row>
    <row r="14" spans="1:9" x14ac:dyDescent="0.25">
      <c r="A14" s="2" t="s">
        <v>27</v>
      </c>
      <c r="B14" t="s">
        <v>8</v>
      </c>
    </row>
    <row r="15" spans="1:9" x14ac:dyDescent="0.25">
      <c r="A15" s="2" t="s">
        <v>28</v>
      </c>
      <c r="B15" t="s">
        <v>8</v>
      </c>
    </row>
    <row r="16" spans="1:9" x14ac:dyDescent="0.25">
      <c r="A16" s="2" t="s">
        <v>29</v>
      </c>
      <c r="B16" t="s">
        <v>8</v>
      </c>
    </row>
    <row r="17" spans="1:4" x14ac:dyDescent="0.25">
      <c r="A17" s="2" t="s">
        <v>0</v>
      </c>
    </row>
    <row r="18" spans="1:4" x14ac:dyDescent="0.25">
      <c r="A18" s="2" t="s">
        <v>0</v>
      </c>
    </row>
    <row r="19" spans="1:4" x14ac:dyDescent="0.25">
      <c r="A19" s="2" t="s">
        <v>30</v>
      </c>
      <c r="B19" t="s">
        <v>8</v>
      </c>
    </row>
    <row r="20" spans="1:4" x14ac:dyDescent="0.25">
      <c r="A20" s="2" t="s">
        <v>31</v>
      </c>
      <c r="B20" t="s">
        <v>1</v>
      </c>
    </row>
    <row r="21" spans="1:4" x14ac:dyDescent="0.25">
      <c r="A21" s="2" t="s">
        <v>0</v>
      </c>
    </row>
    <row r="22" spans="1:4" x14ac:dyDescent="0.25">
      <c r="A22" s="2" t="s">
        <v>32</v>
      </c>
      <c r="B22" t="s">
        <v>1</v>
      </c>
    </row>
    <row r="23" spans="1:4" x14ac:dyDescent="0.25">
      <c r="A23" s="2" t="s">
        <v>0</v>
      </c>
    </row>
    <row r="24" spans="1:4" x14ac:dyDescent="0.25">
      <c r="A24" s="2" t="s">
        <v>33</v>
      </c>
      <c r="B24" t="s">
        <v>1</v>
      </c>
    </row>
    <row r="25" spans="1:4" x14ac:dyDescent="0.25">
      <c r="A25" s="2" t="s">
        <v>34</v>
      </c>
      <c r="B25" t="s">
        <v>1</v>
      </c>
    </row>
    <row r="26" spans="1:4" x14ac:dyDescent="0.25">
      <c r="A26" s="2" t="s">
        <v>35</v>
      </c>
      <c r="B26" t="s">
        <v>8</v>
      </c>
    </row>
    <row r="27" spans="1:4" x14ac:dyDescent="0.25">
      <c r="A27" s="2" t="s">
        <v>36</v>
      </c>
      <c r="B27" t="s">
        <v>8</v>
      </c>
    </row>
    <row r="28" spans="1:4" x14ac:dyDescent="0.25">
      <c r="A28" s="2" t="s">
        <v>0</v>
      </c>
      <c r="D28" s="3"/>
    </row>
    <row r="29" spans="1:4" x14ac:dyDescent="0.25">
      <c r="A29" s="2" t="s">
        <v>0</v>
      </c>
    </row>
    <row r="30" spans="1:4" x14ac:dyDescent="0.25">
      <c r="A30" s="2" t="s">
        <v>37</v>
      </c>
      <c r="B30" t="s">
        <v>1</v>
      </c>
    </row>
    <row r="31" spans="1:4" x14ac:dyDescent="0.25">
      <c r="A31" s="2" t="s">
        <v>38</v>
      </c>
      <c r="B31" t="s">
        <v>1</v>
      </c>
    </row>
    <row r="32" spans="1:4" x14ac:dyDescent="0.25">
      <c r="A32" s="2" t="s">
        <v>0</v>
      </c>
    </row>
    <row r="33" spans="1:2" x14ac:dyDescent="0.25">
      <c r="A33" s="2" t="s">
        <v>39</v>
      </c>
      <c r="B33" t="s">
        <v>1</v>
      </c>
    </row>
    <row r="34" spans="1:2" x14ac:dyDescent="0.25">
      <c r="A34" t="s">
        <v>0</v>
      </c>
    </row>
    <row r="35" spans="1:2" x14ac:dyDescent="0.25">
      <c r="A35" s="2" t="s">
        <v>0</v>
      </c>
    </row>
    <row r="36" spans="1:2" x14ac:dyDescent="0.25">
      <c r="A36" s="2"/>
    </row>
    <row r="37" spans="1:2" x14ac:dyDescent="0.25">
      <c r="A37" s="2"/>
    </row>
    <row r="38" spans="1:2" x14ac:dyDescent="0.25">
      <c r="A38" s="2"/>
    </row>
    <row r="39" spans="1:2" x14ac:dyDescent="0.25">
      <c r="A39" s="2"/>
    </row>
    <row r="40" spans="1:2" x14ac:dyDescent="0.25">
      <c r="A40" s="2"/>
    </row>
    <row r="41" spans="1:2" x14ac:dyDescent="0.25">
      <c r="A41" s="2"/>
    </row>
    <row r="42" spans="1:2" x14ac:dyDescent="0.25">
      <c r="A42" s="2"/>
    </row>
    <row r="44" spans="1:2" x14ac:dyDescent="0.25">
      <c r="A44" s="2"/>
    </row>
    <row r="45" spans="1:2" x14ac:dyDescent="0.25">
      <c r="A45" s="2"/>
    </row>
    <row r="46" spans="1:2" x14ac:dyDescent="0.25">
      <c r="A46" s="2"/>
    </row>
    <row r="48" spans="1:2" x14ac:dyDescent="0.25">
      <c r="A48" s="2"/>
    </row>
    <row r="49" spans="1:1" x14ac:dyDescent="0.25">
      <c r="A49" s="2"/>
    </row>
    <row r="50" spans="1:1" x14ac:dyDescent="0.25">
      <c r="A50" s="2"/>
    </row>
    <row r="78" spans="4:9" x14ac:dyDescent="0.25">
      <c r="D78" t="s">
        <v>2</v>
      </c>
      <c r="E78" t="s">
        <v>6</v>
      </c>
      <c r="F78" t="s">
        <v>3</v>
      </c>
      <c r="G78" t="s">
        <v>4</v>
      </c>
      <c r="H78" t="s">
        <v>5</v>
      </c>
      <c r="I78" t="s">
        <v>7</v>
      </c>
    </row>
    <row r="79" spans="4:9" x14ac:dyDescent="0.25">
      <c r="D79" t="s">
        <v>2</v>
      </c>
      <c r="E79" t="s">
        <v>6</v>
      </c>
      <c r="F79" t="s">
        <v>3</v>
      </c>
      <c r="G79" t="s">
        <v>4</v>
      </c>
      <c r="H79" t="s">
        <v>5</v>
      </c>
      <c r="I79" t="s">
        <v>7</v>
      </c>
    </row>
    <row r="128" spans="4:4" x14ac:dyDescent="0.25">
      <c r="D128" s="1"/>
    </row>
    <row r="133" spans="4:4" x14ac:dyDescent="0.25">
      <c r="D133" s="1"/>
    </row>
    <row r="134" spans="4:4" x14ac:dyDescent="0.25">
      <c r="D134" s="1"/>
    </row>
    <row r="135" spans="4:4" x14ac:dyDescent="0.25">
      <c r="D135" s="1"/>
    </row>
    <row r="136" spans="4:4" x14ac:dyDescent="0.25">
      <c r="D136" s="1"/>
    </row>
    <row r="137" spans="4:4" x14ac:dyDescent="0.25">
      <c r="D137" s="1"/>
    </row>
    <row r="138" spans="4:4" x14ac:dyDescent="0.25">
      <c r="D138" s="1"/>
    </row>
    <row r="139" spans="4:4" x14ac:dyDescent="0.25">
      <c r="D139" s="1"/>
    </row>
    <row r="140" spans="4:4" x14ac:dyDescent="0.25">
      <c r="D140" s="1"/>
    </row>
    <row r="141" spans="4:4" x14ac:dyDescent="0.25">
      <c r="D141" s="1"/>
    </row>
    <row r="142" spans="4:4" x14ac:dyDescent="0.25">
      <c r="D142" s="1"/>
    </row>
    <row r="143" spans="4:4" x14ac:dyDescent="0.25">
      <c r="D143" s="1"/>
    </row>
    <row r="150" spans="4:4" x14ac:dyDescent="0.25">
      <c r="D150" s="1"/>
    </row>
    <row r="151" spans="4:4" x14ac:dyDescent="0.25">
      <c r="D151" s="1"/>
    </row>
    <row r="152" spans="4:4" x14ac:dyDescent="0.25">
      <c r="D152" s="1"/>
    </row>
    <row r="153" spans="4:4" x14ac:dyDescent="0.25">
      <c r="D153" s="1"/>
    </row>
  </sheetData>
  <phoneticPr fontId="3" type="noConversion"/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Inputdaten</vt:lpstr>
      <vt:lpstr>Pivottabelle Gliederung</vt:lpstr>
      <vt:lpstr>Pivottabelle Tabellenformat</vt:lpstr>
      <vt:lpstr>TreeView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RK</dc:creator>
  <cp:lastModifiedBy>RK</cp:lastModifiedBy>
  <dcterms:created xsi:type="dcterms:W3CDTF">2022-05-23T15:08:00Z</dcterms:created>
  <dcterms:modified xsi:type="dcterms:W3CDTF">2022-10-28T06:40:49Z</dcterms:modified>
</cp:coreProperties>
</file>